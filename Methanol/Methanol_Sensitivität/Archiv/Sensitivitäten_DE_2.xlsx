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Sensitivität\"/>
    </mc:Choice>
  </mc:AlternateContent>
  <xr:revisionPtr revIDLastSave="0" documentId="13_ncr:1_{A60E5946-F8C6-478B-9ABB-5B23F41F457F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D5" i="1"/>
  <c r="C5" i="1"/>
</calcChain>
</file>

<file path=xl/sharedStrings.xml><?xml version="1.0" encoding="utf-8"?>
<sst xmlns="http://schemas.openxmlformats.org/spreadsheetml/2006/main" count="276" uniqueCount="164">
  <si>
    <t>Wert</t>
  </si>
  <si>
    <t>Variable</t>
  </si>
  <si>
    <t>capex_pem</t>
  </si>
  <si>
    <t>lower bound</t>
  </si>
  <si>
    <t>upper bound</t>
  </si>
  <si>
    <t>Prozess</t>
  </si>
  <si>
    <t>Inputs</t>
  </si>
  <si>
    <t>Outputs</t>
  </si>
  <si>
    <t>calc_lcoe_wka</t>
  </si>
  <si>
    <t>calc_lcoe_pv</t>
  </si>
  <si>
    <t>calc_lcoe_bat</t>
  </si>
  <si>
    <t>calc_lcoe_mix</t>
  </si>
  <si>
    <t>calc_lcoh_h2s</t>
  </si>
  <si>
    <t>calc_lcoh_pem</t>
  </si>
  <si>
    <t>calc_lcoh_h2</t>
  </si>
  <si>
    <t>ct/kWh</t>
  </si>
  <si>
    <t>ct/kWh Speichermenge</t>
  </si>
  <si>
    <t>€/kg Speichermenge</t>
  </si>
  <si>
    <t>€/kg</t>
  </si>
  <si>
    <t>€/t</t>
  </si>
  <si>
    <t>Einheit</t>
  </si>
  <si>
    <t>calc_GuV</t>
  </si>
  <si>
    <t>€/a</t>
  </si>
  <si>
    <t>annuity_pem</t>
  </si>
  <si>
    <t>result_pem_leistung</t>
  </si>
  <si>
    <t>result_pem_flowsum_elin</t>
  </si>
  <si>
    <t>result_pem_flowsum_h2out</t>
  </si>
  <si>
    <t>calc_gesamtinvest_pem</t>
  </si>
  <si>
    <t>calc_opex_fix_pem</t>
  </si>
  <si>
    <t>calc_annuity_pem</t>
  </si>
  <si>
    <t>calc_verzinstinvest_pem</t>
  </si>
  <si>
    <t>calc_cost_pem</t>
  </si>
  <si>
    <t>annuity_h2s</t>
  </si>
  <si>
    <t>result_h2s_kapa</t>
  </si>
  <si>
    <t>result_h2s_flowsum_in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</si>
  <si>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</si>
  <si>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</si>
  <si>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</si>
  <si>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</si>
  <si>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</si>
  <si>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</si>
  <si>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annuity_bat_leistung</t>
  </si>
  <si>
    <t>annuity_bat_kapa</t>
  </si>
  <si>
    <t>result_bat_kapa</t>
  </si>
  <si>
    <t>result_bat_leistung</t>
  </si>
  <si>
    <t>result_bat_flowsum_out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</si>
  <si>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</si>
  <si>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</si>
  <si>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</si>
  <si>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</si>
  <si>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</si>
  <si>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</si>
  <si>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result_strombezug_flowsum</t>
  </si>
  <si>
    <t>calc_strombezug_kosten</t>
  </si>
  <si>
    <t>annuity_pv</t>
  </si>
  <si>
    <t>result_pv_leistung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</si>
  <si>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</si>
  <si>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</si>
  <si>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</si>
  <si>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</si>
  <si>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</si>
  <si>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</si>
  <si>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</si>
  <si>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annuity_wkaon</t>
  </si>
  <si>
    <t>result_wka_leistung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</si>
  <si>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</si>
  <si>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</si>
  <si>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</si>
  <si>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</si>
  <si>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</si>
  <si>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</si>
  <si>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</si>
  <si>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result_stromverkauf_flowsum</t>
  </si>
  <si>
    <t>calc_einnahmen_stromverkauf</t>
  </si>
  <si>
    <t>result_h2verkauf_flowsum</t>
  </si>
  <si>
    <t>calc_einnahmen_h2verkauf</t>
  </si>
  <si>
    <t>calc_verzinstinvest_gesamt</t>
  </si>
  <si>
    <t>calc_gesamtinvest</t>
  </si>
  <si>
    <t>calc_opex_gesamt</t>
  </si>
  <si>
    <t>calc_einnahmen_gesamt</t>
  </si>
  <si>
    <t>calc_ausgaben_gesamt</t>
  </si>
  <si>
    <t>calc_cost_gesamt</t>
  </si>
  <si>
    <t>calc_cost_el</t>
  </si>
  <si>
    <t>calc_cost_h2</t>
  </si>
  <si>
    <t>calc_maxprice</t>
  </si>
  <si>
    <t>calc_price</t>
  </si>
  <si>
    <t>€/ kWa</t>
  </si>
  <si>
    <t>kW</t>
  </si>
  <si>
    <t>MWh/a</t>
  </si>
  <si>
    <t>kg_H2/a</t>
  </si>
  <si>
    <t>€</t>
  </si>
  <si>
    <t>€ h/ kg a</t>
  </si>
  <si>
    <t>kW_el</t>
  </si>
  <si>
    <t>kg</t>
  </si>
  <si>
    <t>€/ kWh a</t>
  </si>
  <si>
    <t>kWh</t>
  </si>
  <si>
    <t>Farbe</t>
  </si>
  <si>
    <t>capex_wkaon</t>
  </si>
  <si>
    <t>wacc_change</t>
  </si>
  <si>
    <t>annuity_ms</t>
  </si>
  <si>
    <t>result_ms_flowsum_ch3ohout</t>
  </si>
  <si>
    <t>result_ms_flowsum_h2in</t>
  </si>
  <si>
    <t>result_ms_flowsum_co2in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</si>
  <si>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</si>
  <si>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</si>
  <si>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</si>
  <si>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</si>
  <si>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</si>
  <si>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</si>
  <si>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annuity_hp</t>
  </si>
  <si>
    <t>result_hp_leistung</t>
  </si>
  <si>
    <t>result_hp_flowsum_elin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</si>
  <si>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</si>
  <si>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</si>
  <si>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</si>
  <si>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</si>
  <si>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</si>
  <si>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</si>
  <si>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</si>
  <si>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</si>
  <si>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</si>
  <si>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</si>
  <si>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</si>
  <si>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</si>
  <si>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</si>
  <si>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</si>
  <si>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</si>
  <si>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result_qverkauf_flowsum</t>
  </si>
  <si>
    <t>calc_einnnahmen_qverkauf</t>
  </si>
  <si>
    <t>result_ch3ohverkauf_flowsum</t>
  </si>
  <si>
    <t>calc_einnahmen_ch3ohverkauf</t>
  </si>
  <si>
    <t>calc_annuity_gesamt</t>
  </si>
  <si>
    <t>calc_lcoh_hp</t>
  </si>
  <si>
    <t>calc_lcoh_qs</t>
  </si>
  <si>
    <t>calc_lcoh_q</t>
  </si>
  <si>
    <t>calc_lcon_mea</t>
  </si>
  <si>
    <t>calc_lcof_ms</t>
  </si>
  <si>
    <t>calc_cost_q</t>
  </si>
  <si>
    <t>calc_cost_co2</t>
  </si>
  <si>
    <t>calc_cost_ch3oh</t>
  </si>
  <si>
    <t>kg_CH3OH/a</t>
  </si>
  <si>
    <t>kg_CO2/a</t>
  </si>
  <si>
    <t>€/ kW_th a</t>
  </si>
  <si>
    <t>MWh_el/a</t>
  </si>
  <si>
    <t>MWh_th/a</t>
  </si>
  <si>
    <t>€/ kWh_th a</t>
  </si>
  <si>
    <t>kWh_th</t>
  </si>
  <si>
    <t>kWh_th/a</t>
  </si>
  <si>
    <t>ct/kWh_th</t>
  </si>
  <si>
    <t>€/kg_CH3OH</t>
  </si>
  <si>
    <t>strompreis</t>
  </si>
  <si>
    <t>h2_preis</t>
  </si>
  <si>
    <t>annuity_dac</t>
  </si>
  <si>
    <t>result_dac_leistung</t>
  </si>
  <si>
    <t>result_dac_flowsum_elin</t>
  </si>
  <si>
    <t>result_dac_flowsum_qin</t>
  </si>
  <si>
    <t>result_dac_flowsum_co2out</t>
  </si>
  <si>
    <t>calc_gesamtinvest_dac</t>
  </si>
  <si>
    <t>calc_opex_fix_dac</t>
  </si>
  <si>
    <t>calc_annuity_dac</t>
  </si>
  <si>
    <t>calc_verzinstinvest_dac</t>
  </si>
  <si>
    <t>calc_cost_dac</t>
  </si>
  <si>
    <t>calc_lcon_dac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</si>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</sst>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15" zoomScaleNormal="115" workbookViewId="0">
      <selection activeCell="D16" sqref="D16"/>
    </sheetView>
  </sheetViews>
  <sheetFormatPr baseColWidth="10" defaultColWidth="8.90625" defaultRowHeight="14.5" x14ac:dyDescent="0.35"/>
  <cols>
    <col min="1" max="1" width="21" bestFit="1" customWidth="1"/>
    <col min="2" max="2" width="19" style="2" bestFit="1" customWidth="1"/>
    <col min="3" max="3" width="20.81640625" bestFit="1" customWidth="1"/>
    <col min="4" max="4" width="20.81640625" customWidth="1"/>
    <col min="5" max="5" width="13.90625" bestFit="1" customWidth="1"/>
    <col min="6" max="6" width="14" bestFit="1" customWidth="1"/>
    <col min="7" max="7" width="10.81640625" bestFit="1" customWidth="1"/>
  </cols>
  <sheetData>
    <row r="1" spans="1:5" x14ac:dyDescent="0.35">
      <c r="A1" s="1" t="s">
        <v>1</v>
      </c>
      <c r="B1" s="3" t="s">
        <v>0</v>
      </c>
      <c r="C1" s="1" t="s">
        <v>3</v>
      </c>
      <c r="D1" s="1" t="s">
        <v>4</v>
      </c>
      <c r="E1" s="1" t="s">
        <v>96</v>
      </c>
    </row>
    <row r="2" spans="1:5" x14ac:dyDescent="0.35">
      <c r="A2" t="s">
        <v>2</v>
      </c>
      <c r="B2" s="2">
        <v>1500</v>
      </c>
      <c r="C2">
        <v>1000</v>
      </c>
      <c r="D2">
        <v>3000</v>
      </c>
    </row>
    <row r="3" spans="1:5" x14ac:dyDescent="0.35">
      <c r="A3" t="s">
        <v>97</v>
      </c>
      <c r="B3" s="2">
        <v>1080</v>
      </c>
      <c r="C3">
        <v>800</v>
      </c>
      <c r="D3">
        <v>1600</v>
      </c>
    </row>
    <row r="4" spans="1:5" x14ac:dyDescent="0.35">
      <c r="A4" t="s">
        <v>150</v>
      </c>
      <c r="B4" s="2">
        <v>0.1699</v>
      </c>
      <c r="C4">
        <f>B4*0.7</f>
        <v>0.11892999999999999</v>
      </c>
      <c r="D4">
        <f>B4*1.3</f>
        <v>0.22087000000000001</v>
      </c>
    </row>
    <row r="5" spans="1:5" x14ac:dyDescent="0.35">
      <c r="A5" t="s">
        <v>98</v>
      </c>
      <c r="B5" s="2">
        <v>0</v>
      </c>
      <c r="C5" s="2">
        <f>B5-0.02</f>
        <v>-0.02</v>
      </c>
      <c r="D5" s="2">
        <f>B5+0.02</f>
        <v>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69E-FF8D-4E07-84C2-402C85B868B8}">
  <dimension ref="A1:D156"/>
  <sheetViews>
    <sheetView zoomScaleNormal="100" workbookViewId="0">
      <selection activeCell="G12" sqref="G12"/>
    </sheetView>
  </sheetViews>
  <sheetFormatPr baseColWidth="10" defaultRowHeight="14.5" x14ac:dyDescent="0.35"/>
  <cols>
    <col min="1" max="1" width="13.453125" customWidth="1"/>
    <col min="2" max="2" width="43.54296875" bestFit="1" customWidth="1"/>
    <col min="3" max="3" width="21.36328125" bestFit="1" customWidth="1"/>
  </cols>
  <sheetData>
    <row r="1" spans="1:4" ht="15" thickBot="1" x14ac:dyDescent="0.4">
      <c r="A1" s="4" t="s">
        <v>5</v>
      </c>
      <c r="B1" s="4" t="s">
        <v>1</v>
      </c>
      <c r="C1" s="4" t="s">
        <v>20</v>
      </c>
      <c r="D1" s="5"/>
    </row>
    <row r="2" spans="1:4" x14ac:dyDescent="0.35">
      <c r="A2" s="1"/>
      <c r="B2" s="1"/>
    </row>
    <row r="3" spans="1:4" x14ac:dyDescent="0.35">
      <c r="A3" s="6" t="s">
        <v>6</v>
      </c>
      <c r="B3" t="s">
        <v>2</v>
      </c>
    </row>
    <row r="4" spans="1:4" x14ac:dyDescent="0.35">
      <c r="A4" s="6"/>
      <c r="B4" t="s">
        <v>97</v>
      </c>
    </row>
    <row r="5" spans="1:4" x14ac:dyDescent="0.35">
      <c r="A5" s="6"/>
      <c r="B5" t="s">
        <v>150</v>
      </c>
    </row>
    <row r="6" spans="1:4" x14ac:dyDescent="0.35">
      <c r="A6" s="6"/>
      <c r="B6" t="s">
        <v>151</v>
      </c>
    </row>
    <row r="7" spans="1:4" x14ac:dyDescent="0.35">
      <c r="A7" s="6"/>
      <c r="B7" t="s">
        <v>98</v>
      </c>
    </row>
    <row r="8" spans="1:4" ht="15" thickBot="1" x14ac:dyDescent="0.4">
      <c r="A8" s="7"/>
      <c r="B8" s="5"/>
      <c r="C8" s="5"/>
      <c r="D8" s="5"/>
    </row>
    <row r="9" spans="1:4" x14ac:dyDescent="0.35">
      <c r="A9" s="8" t="s">
        <v>7</v>
      </c>
      <c r="B9" t="s">
        <v>23</v>
      </c>
      <c r="C9" t="s">
        <v>86</v>
      </c>
    </row>
    <row r="10" spans="1:4" x14ac:dyDescent="0.35">
      <c r="A10" s="9"/>
      <c r="B10" t="s">
        <v>24</v>
      </c>
      <c r="C10" t="s">
        <v>87</v>
      </c>
    </row>
    <row r="11" spans="1:4" x14ac:dyDescent="0.35">
      <c r="A11" s="9"/>
      <c r="B11" t="s">
        <v>25</v>
      </c>
      <c r="C11" t="s">
        <v>88</v>
      </c>
    </row>
    <row r="12" spans="1:4" x14ac:dyDescent="0.35">
      <c r="A12" s="9"/>
      <c r="B12" t="s">
        <v>26</v>
      </c>
      <c r="C12" t="s">
        <v>89</v>
      </c>
    </row>
    <row r="13" spans="1:4" x14ac:dyDescent="0.35">
      <c r="A13" s="9"/>
      <c r="B13" t="s">
        <v>27</v>
      </c>
      <c r="C13" t="s">
        <v>90</v>
      </c>
    </row>
    <row r="14" spans="1:4" x14ac:dyDescent="0.35">
      <c r="A14" s="9"/>
      <c r="B14" t="s">
        <v>28</v>
      </c>
      <c r="C14" t="s">
        <v>22</v>
      </c>
    </row>
    <row r="15" spans="1:4" x14ac:dyDescent="0.35">
      <c r="A15" s="9"/>
      <c r="B15" t="s">
        <v>29</v>
      </c>
      <c r="C15" t="s">
        <v>22</v>
      </c>
    </row>
    <row r="16" spans="1:4" x14ac:dyDescent="0.35">
      <c r="A16" s="9"/>
      <c r="B16" t="s">
        <v>30</v>
      </c>
      <c r="C16" t="s">
        <v>90</v>
      </c>
    </row>
    <row r="17" spans="1:3" x14ac:dyDescent="0.35">
      <c r="A17" s="9"/>
      <c r="B17" t="s">
        <v>31</v>
      </c>
      <c r="C17" t="s">
        <v>22</v>
      </c>
    </row>
    <row r="18" spans="1:3" x14ac:dyDescent="0.35">
      <c r="A18" s="9"/>
    </row>
    <row r="19" spans="1:3" x14ac:dyDescent="0.35">
      <c r="A19" s="9"/>
      <c r="B19" t="s">
        <v>99</v>
      </c>
      <c r="C19" t="s">
        <v>91</v>
      </c>
    </row>
    <row r="20" spans="1:3" x14ac:dyDescent="0.35">
      <c r="A20" s="9"/>
      <c r="B20" t="s">
        <v>100</v>
      </c>
      <c r="C20" t="s">
        <v>140</v>
      </c>
    </row>
    <row r="21" spans="1:3" x14ac:dyDescent="0.35">
      <c r="A21" s="9"/>
      <c r="B21" t="s">
        <v>101</v>
      </c>
      <c r="C21" t="s">
        <v>89</v>
      </c>
    </row>
    <row r="22" spans="1:3" x14ac:dyDescent="0.35">
      <c r="A22" s="9"/>
      <c r="B22" t="s">
        <v>102</v>
      </c>
      <c r="C22" t="s">
        <v>141</v>
      </c>
    </row>
    <row r="23" spans="1:3" x14ac:dyDescent="0.35">
      <c r="A23" s="9"/>
      <c r="B23" t="s">
        <v>103</v>
      </c>
      <c r="C23" t="s">
        <v>88</v>
      </c>
    </row>
    <row r="24" spans="1:3" x14ac:dyDescent="0.35">
      <c r="A24" s="9"/>
      <c r="B24" t="s">
        <v>104</v>
      </c>
      <c r="C24" t="s">
        <v>90</v>
      </c>
    </row>
    <row r="25" spans="1:3" x14ac:dyDescent="0.35">
      <c r="A25" s="9"/>
      <c r="B25" t="s">
        <v>105</v>
      </c>
      <c r="C25" t="s">
        <v>22</v>
      </c>
    </row>
    <row r="26" spans="1:3" x14ac:dyDescent="0.35">
      <c r="A26" s="9"/>
      <c r="B26" t="s">
        <v>106</v>
      </c>
      <c r="C26" t="s">
        <v>22</v>
      </c>
    </row>
    <row r="27" spans="1:3" x14ac:dyDescent="0.35">
      <c r="A27" s="9"/>
      <c r="B27" t="s">
        <v>107</v>
      </c>
      <c r="C27" t="s">
        <v>90</v>
      </c>
    </row>
    <row r="28" spans="1:3" x14ac:dyDescent="0.35">
      <c r="A28" s="9"/>
      <c r="B28" t="s">
        <v>108</v>
      </c>
      <c r="C28" t="s">
        <v>22</v>
      </c>
    </row>
    <row r="29" spans="1:3" x14ac:dyDescent="0.35">
      <c r="A29" s="9"/>
    </row>
    <row r="30" spans="1:3" x14ac:dyDescent="0.35">
      <c r="A30" s="9"/>
      <c r="B30" t="s">
        <v>109</v>
      </c>
      <c r="C30" t="s">
        <v>142</v>
      </c>
    </row>
    <row r="31" spans="1:3" x14ac:dyDescent="0.35">
      <c r="A31" s="9"/>
      <c r="B31" t="s">
        <v>110</v>
      </c>
      <c r="C31" t="s">
        <v>92</v>
      </c>
    </row>
    <row r="32" spans="1:3" x14ac:dyDescent="0.35">
      <c r="A32" s="9"/>
      <c r="B32" t="s">
        <v>111</v>
      </c>
      <c r="C32" t="s">
        <v>143</v>
      </c>
    </row>
    <row r="33" spans="1:3" x14ac:dyDescent="0.35">
      <c r="A33" s="9"/>
      <c r="B33" t="s">
        <v>112</v>
      </c>
      <c r="C33" t="s">
        <v>144</v>
      </c>
    </row>
    <row r="34" spans="1:3" x14ac:dyDescent="0.35">
      <c r="A34" s="9"/>
      <c r="B34" t="s">
        <v>113</v>
      </c>
      <c r="C34" t="s">
        <v>90</v>
      </c>
    </row>
    <row r="35" spans="1:3" x14ac:dyDescent="0.35">
      <c r="A35" s="9"/>
      <c r="B35" t="s">
        <v>114</v>
      </c>
      <c r="C35" t="s">
        <v>22</v>
      </c>
    </row>
    <row r="36" spans="1:3" x14ac:dyDescent="0.35">
      <c r="A36" s="9"/>
      <c r="B36" t="s">
        <v>115</v>
      </c>
      <c r="C36" t="s">
        <v>22</v>
      </c>
    </row>
    <row r="37" spans="1:3" x14ac:dyDescent="0.35">
      <c r="A37" s="9"/>
      <c r="B37" t="s">
        <v>116</v>
      </c>
      <c r="C37" t="s">
        <v>90</v>
      </c>
    </row>
    <row r="38" spans="1:3" x14ac:dyDescent="0.35">
      <c r="A38" s="9"/>
      <c r="B38" t="s">
        <v>117</v>
      </c>
      <c r="C38" t="s">
        <v>22</v>
      </c>
    </row>
    <row r="39" spans="1:3" x14ac:dyDescent="0.35">
      <c r="A39" s="9"/>
    </row>
    <row r="40" spans="1:3" x14ac:dyDescent="0.35">
      <c r="A40" s="9"/>
      <c r="B40" t="s">
        <v>152</v>
      </c>
      <c r="C40" t="s">
        <v>91</v>
      </c>
    </row>
    <row r="41" spans="1:3" x14ac:dyDescent="0.35">
      <c r="A41" s="9"/>
      <c r="B41" t="s">
        <v>153</v>
      </c>
      <c r="C41" t="s">
        <v>92</v>
      </c>
    </row>
    <row r="42" spans="1:3" x14ac:dyDescent="0.35">
      <c r="A42" s="9"/>
      <c r="B42" t="s">
        <v>154</v>
      </c>
      <c r="C42" t="s">
        <v>88</v>
      </c>
    </row>
    <row r="43" spans="1:3" x14ac:dyDescent="0.35">
      <c r="A43" s="9"/>
      <c r="B43" t="s">
        <v>155</v>
      </c>
      <c r="C43" t="s">
        <v>144</v>
      </c>
    </row>
    <row r="44" spans="1:3" x14ac:dyDescent="0.35">
      <c r="A44" s="9"/>
      <c r="B44" t="s">
        <v>156</v>
      </c>
      <c r="C44" t="s">
        <v>141</v>
      </c>
    </row>
    <row r="45" spans="1:3" x14ac:dyDescent="0.35">
      <c r="A45" s="9"/>
      <c r="B45" t="s">
        <v>157</v>
      </c>
      <c r="C45" t="s">
        <v>90</v>
      </c>
    </row>
    <row r="46" spans="1:3" x14ac:dyDescent="0.35">
      <c r="A46" s="9"/>
      <c r="B46" t="s">
        <v>158</v>
      </c>
      <c r="C46" t="s">
        <v>22</v>
      </c>
    </row>
    <row r="47" spans="1:3" x14ac:dyDescent="0.35">
      <c r="A47" s="9"/>
      <c r="B47" t="s">
        <v>159</v>
      </c>
      <c r="C47" t="s">
        <v>22</v>
      </c>
    </row>
    <row r="48" spans="1:3" x14ac:dyDescent="0.35">
      <c r="A48" s="9"/>
      <c r="B48" t="s">
        <v>160</v>
      </c>
      <c r="C48" t="s">
        <v>90</v>
      </c>
    </row>
    <row r="49" spans="1:3" x14ac:dyDescent="0.35">
      <c r="A49" s="9"/>
      <c r="B49" t="s">
        <v>161</v>
      </c>
      <c r="C49" t="s">
        <v>22</v>
      </c>
    </row>
    <row r="50" spans="1:3" x14ac:dyDescent="0.35">
      <c r="A50" s="9"/>
    </row>
    <row r="51" spans="1:3" x14ac:dyDescent="0.35">
      <c r="A51" s="9"/>
      <c r="B51" t="s">
        <v>32</v>
      </c>
      <c r="C51" t="s">
        <v>163</v>
      </c>
    </row>
    <row r="52" spans="1:3" x14ac:dyDescent="0.35">
      <c r="A52" s="9"/>
      <c r="B52" t="s">
        <v>33</v>
      </c>
      <c r="C52" t="s">
        <v>93</v>
      </c>
    </row>
    <row r="53" spans="1:3" x14ac:dyDescent="0.35">
      <c r="A53" s="9"/>
      <c r="B53" t="s">
        <v>34</v>
      </c>
      <c r="C53" t="s">
        <v>89</v>
      </c>
    </row>
    <row r="54" spans="1:3" x14ac:dyDescent="0.35">
      <c r="A54" s="9"/>
      <c r="B54" t="s">
        <v>35</v>
      </c>
      <c r="C54" t="s">
        <v>89</v>
      </c>
    </row>
    <row r="55" spans="1:3" x14ac:dyDescent="0.35">
      <c r="A55" s="9"/>
      <c r="B55" t="s">
        <v>36</v>
      </c>
      <c r="C55" t="s">
        <v>90</v>
      </c>
    </row>
    <row r="56" spans="1:3" x14ac:dyDescent="0.35">
      <c r="A56" s="9"/>
      <c r="B56" t="s">
        <v>37</v>
      </c>
      <c r="C56" t="s">
        <v>22</v>
      </c>
    </row>
    <row r="57" spans="1:3" x14ac:dyDescent="0.35">
      <c r="A57" s="9"/>
      <c r="B57" t="s">
        <v>38</v>
      </c>
      <c r="C57" t="s">
        <v>22</v>
      </c>
    </row>
    <row r="58" spans="1:3" x14ac:dyDescent="0.35">
      <c r="A58" s="9"/>
      <c r="B58" t="s">
        <v>39</v>
      </c>
      <c r="C58" t="s">
        <v>90</v>
      </c>
    </row>
    <row r="59" spans="1:3" x14ac:dyDescent="0.35">
      <c r="A59" s="9"/>
      <c r="B59" t="s">
        <v>40</v>
      </c>
      <c r="C59" t="s">
        <v>22</v>
      </c>
    </row>
    <row r="60" spans="1:3" x14ac:dyDescent="0.35">
      <c r="A60" s="9"/>
    </row>
    <row r="61" spans="1:3" x14ac:dyDescent="0.35">
      <c r="A61" s="9"/>
      <c r="B61" t="s">
        <v>118</v>
      </c>
      <c r="C61" t="s">
        <v>145</v>
      </c>
    </row>
    <row r="62" spans="1:3" x14ac:dyDescent="0.35">
      <c r="A62" s="9"/>
      <c r="B62" t="s">
        <v>119</v>
      </c>
      <c r="C62" t="s">
        <v>146</v>
      </c>
    </row>
    <row r="63" spans="1:3" x14ac:dyDescent="0.35">
      <c r="A63" s="9"/>
      <c r="B63" t="s">
        <v>120</v>
      </c>
      <c r="C63" t="s">
        <v>147</v>
      </c>
    </row>
    <row r="64" spans="1:3" x14ac:dyDescent="0.35">
      <c r="A64" s="9"/>
      <c r="B64" t="s">
        <v>121</v>
      </c>
      <c r="C64" t="s">
        <v>147</v>
      </c>
    </row>
    <row r="65" spans="1:3" x14ac:dyDescent="0.35">
      <c r="A65" s="9"/>
      <c r="B65" t="s">
        <v>122</v>
      </c>
      <c r="C65" t="s">
        <v>90</v>
      </c>
    </row>
    <row r="66" spans="1:3" x14ac:dyDescent="0.35">
      <c r="A66" s="9"/>
      <c r="B66" t="s">
        <v>123</v>
      </c>
      <c r="C66" t="s">
        <v>22</v>
      </c>
    </row>
    <row r="67" spans="1:3" x14ac:dyDescent="0.35">
      <c r="A67" s="9"/>
      <c r="B67" t="s">
        <v>124</v>
      </c>
      <c r="C67" t="s">
        <v>22</v>
      </c>
    </row>
    <row r="68" spans="1:3" x14ac:dyDescent="0.35">
      <c r="A68" s="9"/>
      <c r="B68" t="s">
        <v>125</v>
      </c>
      <c r="C68" t="s">
        <v>90</v>
      </c>
    </row>
    <row r="69" spans="1:3" x14ac:dyDescent="0.35">
      <c r="A69" s="9"/>
      <c r="B69" t="s">
        <v>126</v>
      </c>
      <c r="C69" t="s">
        <v>22</v>
      </c>
    </row>
    <row r="70" spans="1:3" x14ac:dyDescent="0.35">
      <c r="A70" s="9"/>
    </row>
    <row r="71" spans="1:3" x14ac:dyDescent="0.35">
      <c r="A71" s="9"/>
      <c r="B71" t="s">
        <v>41</v>
      </c>
      <c r="C71" t="s">
        <v>86</v>
      </c>
    </row>
    <row r="72" spans="1:3" x14ac:dyDescent="0.35">
      <c r="A72" s="9"/>
      <c r="B72" t="s">
        <v>42</v>
      </c>
      <c r="C72" t="s">
        <v>94</v>
      </c>
    </row>
    <row r="73" spans="1:3" x14ac:dyDescent="0.35">
      <c r="A73" s="9"/>
      <c r="B73" t="s">
        <v>43</v>
      </c>
      <c r="C73" t="s">
        <v>95</v>
      </c>
    </row>
    <row r="74" spans="1:3" x14ac:dyDescent="0.35">
      <c r="A74" s="9"/>
      <c r="B74" t="s">
        <v>44</v>
      </c>
      <c r="C74" t="s">
        <v>87</v>
      </c>
    </row>
    <row r="75" spans="1:3" x14ac:dyDescent="0.35">
      <c r="A75" s="9"/>
      <c r="B75" t="s">
        <v>45</v>
      </c>
      <c r="C75" t="s">
        <v>88</v>
      </c>
    </row>
    <row r="76" spans="1:3" x14ac:dyDescent="0.35">
      <c r="A76" s="9"/>
      <c r="B76" t="s">
        <v>46</v>
      </c>
      <c r="C76" t="s">
        <v>88</v>
      </c>
    </row>
    <row r="77" spans="1:3" x14ac:dyDescent="0.35">
      <c r="A77" s="9"/>
      <c r="B77" t="s">
        <v>47</v>
      </c>
      <c r="C77" t="s">
        <v>90</v>
      </c>
    </row>
    <row r="78" spans="1:3" x14ac:dyDescent="0.35">
      <c r="A78" s="9"/>
      <c r="B78" t="s">
        <v>48</v>
      </c>
      <c r="C78" t="s">
        <v>22</v>
      </c>
    </row>
    <row r="79" spans="1:3" x14ac:dyDescent="0.35">
      <c r="A79" s="9"/>
      <c r="B79" t="s">
        <v>49</v>
      </c>
      <c r="C79" t="s">
        <v>22</v>
      </c>
    </row>
    <row r="80" spans="1:3" x14ac:dyDescent="0.35">
      <c r="A80" s="9"/>
      <c r="B80" t="s">
        <v>50</v>
      </c>
      <c r="C80" t="s">
        <v>90</v>
      </c>
    </row>
    <row r="81" spans="1:3" x14ac:dyDescent="0.35">
      <c r="A81" s="9"/>
      <c r="B81" t="s">
        <v>51</v>
      </c>
      <c r="C81" t="s">
        <v>22</v>
      </c>
    </row>
    <row r="82" spans="1:3" x14ac:dyDescent="0.35">
      <c r="A82" s="9"/>
    </row>
    <row r="83" spans="1:3" x14ac:dyDescent="0.35">
      <c r="A83" s="9"/>
      <c r="B83" t="s">
        <v>52</v>
      </c>
      <c r="C83" t="s">
        <v>88</v>
      </c>
    </row>
    <row r="84" spans="1:3" x14ac:dyDescent="0.35">
      <c r="A84" s="9"/>
      <c r="B84" t="s">
        <v>53</v>
      </c>
      <c r="C84" t="s">
        <v>22</v>
      </c>
    </row>
    <row r="85" spans="1:3" x14ac:dyDescent="0.35">
      <c r="A85" s="9"/>
    </row>
    <row r="86" spans="1:3" x14ac:dyDescent="0.35">
      <c r="A86" s="9"/>
      <c r="B86" t="s">
        <v>54</v>
      </c>
      <c r="C86" t="s">
        <v>86</v>
      </c>
    </row>
    <row r="87" spans="1:3" x14ac:dyDescent="0.35">
      <c r="A87" s="9"/>
      <c r="B87" t="s">
        <v>55</v>
      </c>
      <c r="C87" t="s">
        <v>87</v>
      </c>
    </row>
    <row r="88" spans="1:3" x14ac:dyDescent="0.35">
      <c r="A88" s="9"/>
      <c r="B88" t="s">
        <v>56</v>
      </c>
      <c r="C88" t="s">
        <v>88</v>
      </c>
    </row>
    <row r="89" spans="1:3" x14ac:dyDescent="0.35">
      <c r="A89" s="9"/>
      <c r="B89" t="s">
        <v>57</v>
      </c>
      <c r="C89" t="s">
        <v>90</v>
      </c>
    </row>
    <row r="90" spans="1:3" x14ac:dyDescent="0.35">
      <c r="A90" s="9"/>
      <c r="B90" t="s">
        <v>58</v>
      </c>
      <c r="C90" t="s">
        <v>22</v>
      </c>
    </row>
    <row r="91" spans="1:3" x14ac:dyDescent="0.35">
      <c r="A91" s="9"/>
      <c r="B91" t="s">
        <v>59</v>
      </c>
      <c r="C91" t="s">
        <v>22</v>
      </c>
    </row>
    <row r="92" spans="1:3" x14ac:dyDescent="0.35">
      <c r="A92" s="9"/>
      <c r="B92" t="s">
        <v>60</v>
      </c>
      <c r="C92" t="s">
        <v>22</v>
      </c>
    </row>
    <row r="93" spans="1:3" x14ac:dyDescent="0.35">
      <c r="A93" s="9"/>
      <c r="B93" t="s">
        <v>61</v>
      </c>
      <c r="C93" t="s">
        <v>90</v>
      </c>
    </row>
    <row r="94" spans="1:3" x14ac:dyDescent="0.35">
      <c r="A94" s="9"/>
      <c r="B94" t="s">
        <v>62</v>
      </c>
      <c r="C94" t="s">
        <v>22</v>
      </c>
    </row>
    <row r="95" spans="1:3" x14ac:dyDescent="0.35">
      <c r="A95" s="9"/>
    </row>
    <row r="96" spans="1:3" x14ac:dyDescent="0.35">
      <c r="A96" s="9"/>
      <c r="B96" t="s">
        <v>63</v>
      </c>
      <c r="C96" t="s">
        <v>86</v>
      </c>
    </row>
    <row r="97" spans="1:3" x14ac:dyDescent="0.35">
      <c r="A97" s="9"/>
      <c r="B97" t="s">
        <v>64</v>
      </c>
      <c r="C97" t="s">
        <v>87</v>
      </c>
    </row>
    <row r="98" spans="1:3" x14ac:dyDescent="0.35">
      <c r="A98" s="9"/>
      <c r="B98" t="s">
        <v>65</v>
      </c>
      <c r="C98" t="s">
        <v>88</v>
      </c>
    </row>
    <row r="99" spans="1:3" x14ac:dyDescent="0.35">
      <c r="A99" s="9"/>
      <c r="B99" t="s">
        <v>66</v>
      </c>
      <c r="C99" t="s">
        <v>90</v>
      </c>
    </row>
    <row r="100" spans="1:3" x14ac:dyDescent="0.35">
      <c r="A100" s="9"/>
      <c r="B100" t="s">
        <v>67</v>
      </c>
      <c r="C100" t="s">
        <v>22</v>
      </c>
    </row>
    <row r="101" spans="1:3" x14ac:dyDescent="0.35">
      <c r="A101" s="9"/>
      <c r="B101" t="s">
        <v>68</v>
      </c>
      <c r="C101" t="s">
        <v>22</v>
      </c>
    </row>
    <row r="102" spans="1:3" x14ac:dyDescent="0.35">
      <c r="A102" s="9"/>
      <c r="B102" t="s">
        <v>69</v>
      </c>
      <c r="C102" t="s">
        <v>22</v>
      </c>
    </row>
    <row r="103" spans="1:3" x14ac:dyDescent="0.35">
      <c r="A103" s="9"/>
      <c r="B103" t="s">
        <v>70</v>
      </c>
      <c r="C103" t="s">
        <v>90</v>
      </c>
    </row>
    <row r="104" spans="1:3" x14ac:dyDescent="0.35">
      <c r="A104" s="9"/>
      <c r="B104" t="s">
        <v>71</v>
      </c>
      <c r="C104" t="s">
        <v>22</v>
      </c>
    </row>
    <row r="105" spans="1:3" x14ac:dyDescent="0.35">
      <c r="A105" s="9"/>
    </row>
    <row r="106" spans="1:3" x14ac:dyDescent="0.35">
      <c r="A106" s="9"/>
      <c r="B106" t="s">
        <v>72</v>
      </c>
      <c r="C106" t="s">
        <v>88</v>
      </c>
    </row>
    <row r="107" spans="1:3" x14ac:dyDescent="0.35">
      <c r="A107" s="9"/>
      <c r="B107" t="s">
        <v>73</v>
      </c>
      <c r="C107" t="s">
        <v>22</v>
      </c>
    </row>
    <row r="108" spans="1:3" x14ac:dyDescent="0.35">
      <c r="A108" s="9"/>
    </row>
    <row r="109" spans="1:3" x14ac:dyDescent="0.35">
      <c r="A109" s="9"/>
      <c r="B109" t="s">
        <v>127</v>
      </c>
      <c r="C109" t="s">
        <v>144</v>
      </c>
    </row>
    <row r="110" spans="1:3" x14ac:dyDescent="0.35">
      <c r="A110" s="9"/>
      <c r="B110" t="s">
        <v>128</v>
      </c>
      <c r="C110" t="s">
        <v>22</v>
      </c>
    </row>
    <row r="111" spans="1:3" x14ac:dyDescent="0.35">
      <c r="A111" s="9"/>
    </row>
    <row r="112" spans="1:3" x14ac:dyDescent="0.35">
      <c r="A112" s="9"/>
      <c r="B112" t="s">
        <v>74</v>
      </c>
      <c r="C112" t="s">
        <v>89</v>
      </c>
    </row>
    <row r="113" spans="1:3" x14ac:dyDescent="0.35">
      <c r="A113" s="9"/>
      <c r="B113" t="s">
        <v>75</v>
      </c>
      <c r="C113" t="s">
        <v>22</v>
      </c>
    </row>
    <row r="114" spans="1:3" x14ac:dyDescent="0.35">
      <c r="A114" s="9"/>
    </row>
    <row r="115" spans="1:3" x14ac:dyDescent="0.35">
      <c r="A115" s="9"/>
      <c r="B115" t="s">
        <v>129</v>
      </c>
      <c r="C115" t="s">
        <v>140</v>
      </c>
    </row>
    <row r="116" spans="1:3" x14ac:dyDescent="0.35">
      <c r="A116" s="9"/>
      <c r="B116" t="s">
        <v>130</v>
      </c>
      <c r="C116" t="s">
        <v>22</v>
      </c>
    </row>
    <row r="117" spans="1:3" x14ac:dyDescent="0.35">
      <c r="A117" s="9"/>
    </row>
    <row r="118" spans="1:3" x14ac:dyDescent="0.35">
      <c r="A118" s="9"/>
      <c r="B118" t="s">
        <v>76</v>
      </c>
      <c r="C118" t="s">
        <v>90</v>
      </c>
    </row>
    <row r="119" spans="1:3" x14ac:dyDescent="0.35">
      <c r="A119" s="9"/>
      <c r="B119" t="s">
        <v>77</v>
      </c>
      <c r="C119" t="s">
        <v>90</v>
      </c>
    </row>
    <row r="121" spans="1:3" x14ac:dyDescent="0.35">
      <c r="B121" t="s">
        <v>78</v>
      </c>
      <c r="C121" t="s">
        <v>22</v>
      </c>
    </row>
    <row r="122" spans="1:3" x14ac:dyDescent="0.35">
      <c r="B122" t="s">
        <v>131</v>
      </c>
      <c r="C122" t="s">
        <v>22</v>
      </c>
    </row>
    <row r="123" spans="1:3" x14ac:dyDescent="0.35">
      <c r="B123" t="s">
        <v>79</v>
      </c>
      <c r="C123" t="s">
        <v>22</v>
      </c>
    </row>
    <row r="124" spans="1:3" x14ac:dyDescent="0.35">
      <c r="B124" t="s">
        <v>80</v>
      </c>
      <c r="C124" t="s">
        <v>22</v>
      </c>
    </row>
    <row r="125" spans="1:3" x14ac:dyDescent="0.35">
      <c r="B125" t="s">
        <v>21</v>
      </c>
      <c r="C125" t="s">
        <v>22</v>
      </c>
    </row>
    <row r="126" spans="1:3" x14ac:dyDescent="0.35">
      <c r="B126" t="s">
        <v>81</v>
      </c>
      <c r="C126" t="s">
        <v>22</v>
      </c>
    </row>
    <row r="128" spans="1:3" x14ac:dyDescent="0.35">
      <c r="B128" t="s">
        <v>8</v>
      </c>
      <c r="C128" t="s">
        <v>15</v>
      </c>
    </row>
    <row r="129" spans="2:3" x14ac:dyDescent="0.35">
      <c r="B129" t="s">
        <v>9</v>
      </c>
      <c r="C129" t="s">
        <v>15</v>
      </c>
    </row>
    <row r="130" spans="2:3" x14ac:dyDescent="0.35">
      <c r="B130" t="s">
        <v>10</v>
      </c>
      <c r="C130" t="s">
        <v>16</v>
      </c>
    </row>
    <row r="131" spans="2:3" x14ac:dyDescent="0.35">
      <c r="B131" t="s">
        <v>11</v>
      </c>
      <c r="C131" t="s">
        <v>15</v>
      </c>
    </row>
    <row r="132" spans="2:3" x14ac:dyDescent="0.35">
      <c r="B132" t="s">
        <v>132</v>
      </c>
      <c r="C132" t="s">
        <v>148</v>
      </c>
    </row>
    <row r="133" spans="2:3" x14ac:dyDescent="0.35">
      <c r="B133" t="s">
        <v>133</v>
      </c>
      <c r="C133" t="s">
        <v>148</v>
      </c>
    </row>
    <row r="134" spans="2:3" x14ac:dyDescent="0.35">
      <c r="B134" t="s">
        <v>134</v>
      </c>
      <c r="C134" t="s">
        <v>148</v>
      </c>
    </row>
    <row r="135" spans="2:3" x14ac:dyDescent="0.35">
      <c r="B135" t="s">
        <v>12</v>
      </c>
      <c r="C135" t="s">
        <v>17</v>
      </c>
    </row>
    <row r="136" spans="2:3" x14ac:dyDescent="0.35">
      <c r="B136" t="s">
        <v>13</v>
      </c>
      <c r="C136" t="s">
        <v>18</v>
      </c>
    </row>
    <row r="137" spans="2:3" x14ac:dyDescent="0.35">
      <c r="B137" t="s">
        <v>14</v>
      </c>
      <c r="C137" t="s">
        <v>18</v>
      </c>
    </row>
    <row r="138" spans="2:3" x14ac:dyDescent="0.35">
      <c r="B138" t="s">
        <v>162</v>
      </c>
      <c r="C138" t="s">
        <v>18</v>
      </c>
    </row>
    <row r="139" spans="2:3" x14ac:dyDescent="0.35">
      <c r="B139" t="s">
        <v>136</v>
      </c>
      <c r="C139" t="s">
        <v>19</v>
      </c>
    </row>
    <row r="141" spans="2:3" x14ac:dyDescent="0.35">
      <c r="B141" t="s">
        <v>82</v>
      </c>
      <c r="C141" t="s">
        <v>15</v>
      </c>
    </row>
    <row r="142" spans="2:3" x14ac:dyDescent="0.35">
      <c r="B142" t="s">
        <v>137</v>
      </c>
      <c r="C142" t="s">
        <v>148</v>
      </c>
    </row>
    <row r="143" spans="2:3" x14ac:dyDescent="0.35">
      <c r="B143" t="s">
        <v>83</v>
      </c>
      <c r="C143" t="s">
        <v>18</v>
      </c>
    </row>
    <row r="144" spans="2:3" x14ac:dyDescent="0.35">
      <c r="B144" t="s">
        <v>138</v>
      </c>
      <c r="C144" t="s">
        <v>18</v>
      </c>
    </row>
    <row r="145" spans="2:3" x14ac:dyDescent="0.35">
      <c r="B145" t="s">
        <v>139</v>
      </c>
      <c r="C145" t="s">
        <v>19</v>
      </c>
    </row>
    <row r="147" spans="2:3" x14ac:dyDescent="0.35">
      <c r="B147" t="s">
        <v>84</v>
      </c>
      <c r="C147" t="s">
        <v>149</v>
      </c>
    </row>
    <row r="148" spans="2:3" x14ac:dyDescent="0.35">
      <c r="B148" t="s">
        <v>85</v>
      </c>
      <c r="C148" t="s">
        <v>149</v>
      </c>
    </row>
    <row r="149" spans="2:3" x14ac:dyDescent="0.35">
      <c r="B149" t="s">
        <v>135</v>
      </c>
    </row>
    <row r="150" spans="2:3" x14ac:dyDescent="0.35">
      <c r="B150" t="s">
        <v>137</v>
      </c>
      <c r="C150" t="s">
        <v>148</v>
      </c>
    </row>
    <row r="151" spans="2:3" x14ac:dyDescent="0.35">
      <c r="B151" t="s">
        <v>83</v>
      </c>
      <c r="C151" t="s">
        <v>18</v>
      </c>
    </row>
    <row r="152" spans="2:3" x14ac:dyDescent="0.35">
      <c r="B152" t="s">
        <v>138</v>
      </c>
      <c r="C152" t="s">
        <v>18</v>
      </c>
    </row>
    <row r="153" spans="2:3" x14ac:dyDescent="0.35">
      <c r="B153" t="s">
        <v>139</v>
      </c>
      <c r="C153" t="s">
        <v>19</v>
      </c>
    </row>
    <row r="155" spans="2:3" x14ac:dyDescent="0.35">
      <c r="B155" t="s">
        <v>84</v>
      </c>
      <c r="C155" t="s">
        <v>149</v>
      </c>
    </row>
    <row r="156" spans="2:3" x14ac:dyDescent="0.35">
      <c r="B156" t="s">
        <v>85</v>
      </c>
      <c r="C156" t="s">
        <v>149</v>
      </c>
    </row>
  </sheetData>
  <mergeCells count="1">
    <mergeCell ref="A9:A11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2026-10-07T09:26:17Z</dcterms:modified>
</cp:coreProperties>
</file>