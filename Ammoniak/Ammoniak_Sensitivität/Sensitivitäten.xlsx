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get39559\Documents\00_FENES\09_P2X3\FENES_P2X\Ammoniak\Ammoniak_Sensitivität\"/>
    </mc:Choice>
  </mc:AlternateContent>
  <xr:revisionPtr revIDLastSave="0" documentId="13_ncr:1_{7170CF67-C83C-4DAD-8BD4-62E43DD1B4B8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Datenauswahl" sheetId="1" r:id="rId1"/>
    <sheet name="Ergebnisse" sheetId="7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3" i="1"/>
  <c r="D5" i="1"/>
  <c r="D6" i="1"/>
  <c r="D7" i="1"/>
  <c r="D8" i="1"/>
  <c r="D2" i="1"/>
  <c r="C3" i="1"/>
  <c r="C4" i="1"/>
  <c r="C5" i="1"/>
  <c r="C6" i="1"/>
  <c r="C7" i="1"/>
  <c r="C8" i="1"/>
  <c r="C2" i="1"/>
</calcChain>
</file>

<file path=xl/sharedStrings.xml><?xml version="1.0" encoding="utf-8"?>
<sst xmlns="http://schemas.openxmlformats.org/spreadsheetml/2006/main" count="229" uniqueCount="143">
  <si>
    <t>Wert</t>
  </si>
  <si>
    <t>Variable</t>
  </si>
  <si>
    <t>capex_pem</t>
  </si>
  <si>
    <t>lower bound</t>
  </si>
  <si>
    <t>upper bound</t>
  </si>
  <si>
    <t>Prozess</t>
  </si>
  <si>
    <t>Inputs</t>
  </si>
  <si>
    <t>Outputs</t>
  </si>
  <si>
    <t>calc_lcoe_wka</t>
  </si>
  <si>
    <t>calc_lcoe_pv</t>
  </si>
  <si>
    <t>calc_lcoe_bat</t>
  </si>
  <si>
    <t>calc_lcoe_mix</t>
  </si>
  <si>
    <t>calc_lcoh_h2s</t>
  </si>
  <si>
    <t>calc_lcoh_pem</t>
  </si>
  <si>
    <t>calc_lcoh_h2</t>
  </si>
  <si>
    <t>calc_lcon_asu</t>
  </si>
  <si>
    <t>calc_lcof_hb</t>
  </si>
  <si>
    <t>ct/kWh</t>
  </si>
  <si>
    <t>ct/kWh Speichermenge</t>
  </si>
  <si>
    <t>€/kg Speichermenge</t>
  </si>
  <si>
    <t>€/kg</t>
  </si>
  <si>
    <t>€/t</t>
  </si>
  <si>
    <t>Einheit</t>
  </si>
  <si>
    <t>calc_GuV</t>
  </si>
  <si>
    <t>€/a</t>
  </si>
  <si>
    <t>€/kW_el</t>
  </si>
  <si>
    <t>€/kg_NH3</t>
  </si>
  <si>
    <t>annuity_pem</t>
  </si>
  <si>
    <t>result_pem_leistung</t>
  </si>
  <si>
    <t>result_pem_flowsum_elin</t>
  </si>
  <si>
    <t>result_pem_flowsum_h2out</t>
  </si>
  <si>
    <t>calc_gesamtinvest_pem</t>
  </si>
  <si>
    <t>calc_opex_fix_pem</t>
  </si>
  <si>
    <t>calc_annuity_pem</t>
  </si>
  <si>
    <t>calc_verzinstinvest_pem</t>
  </si>
  <si>
    <t>calc_cost_pem</t>
  </si>
  <si>
    <t>annuity_hb</t>
  </si>
  <si>
    <t>result_hb_flowsum_nh3out</t>
  </si>
  <si>
    <t>result_hb_flowsum_h2in</t>
  </si>
  <si>
    <t>result_hb_flowsum_n2in</t>
  </si>
  <si>
    <t>result_hb_flowsum_elin</t>
  </si>
  <si>
    <t>calc_gesamtinvest_hb</t>
  </si>
  <si>
    <t>calc_opex_fix_hb</t>
  </si>
  <si>
    <t>calc_annuity_hb</t>
  </si>
  <si>
    <t>calc_verzinstinvest_hb</t>
  </si>
  <si>
    <t>calc_cost_hb</t>
  </si>
  <si>
    <t>annuity_asu</t>
  </si>
  <si>
    <t>result_asu_leistung</t>
  </si>
  <si>
    <t>result_asu_flowsum_elin</t>
  </si>
  <si>
    <t>result_asu_flowsum_n2out</t>
  </si>
  <si>
    <t>calc_gesamtinvest_asu</t>
  </si>
  <si>
    <t>calc_opex_fix_asu</t>
  </si>
  <si>
    <t>calc_annuity_asu</t>
  </si>
  <si>
    <t>calc_verzinstinvest_asu</t>
  </si>
  <si>
    <t>calc_cost_asu</t>
  </si>
  <si>
    <t>annuity_h2s</t>
  </si>
  <si>
    <t>result_h2s_kapa</t>
  </si>
  <si>
    <t>result_h2s_flowsum_in</t>
  </si>
  <si>
    <t>result_h2s_flowsum_out</t>
  </si>
  <si>
    <t>calc_gesamtinvest_h2s</t>
  </si>
  <si>
    <t>calc_opex_fix_h2s</t>
  </si>
  <si>
    <t>calc_annuity_h2s</t>
  </si>
  <si>
    <t>calc_verzinstinvest_h2s</t>
  </si>
  <si>
    <t>calc_cost_h2s</t>
  </si>
  <si>
    <t>annuity_bat_leistung</t>
  </si>
  <si>
    <t>annuity_bat_kapa</t>
  </si>
  <si>
    <t>result_bat_kapa</t>
  </si>
  <si>
    <t>result_bat_leistung</t>
  </si>
  <si>
    <t>result_bat_flowsum_out</t>
  </si>
  <si>
    <t>result_bat_flowsum_in</t>
  </si>
  <si>
    <t>calc_gesamtinvest_bat</t>
  </si>
  <si>
    <t>calc_opex_fix_bat</t>
  </si>
  <si>
    <t>calc_annuity_bat</t>
  </si>
  <si>
    <t>calc_verzinstinvest_bat</t>
  </si>
  <si>
    <t>calc_cost_bat</t>
  </si>
  <si>
    <t>result_strombezug_flowsum</t>
  </si>
  <si>
    <t>calc_strombezug_kosten</t>
  </si>
  <si>
    <t>annuity_pv</t>
  </si>
  <si>
    <t>result_pv_leistung</t>
  </si>
  <si>
    <t>result_pv_flowsum_generation</t>
  </si>
  <si>
    <t>calc_gesamtinvest_pv</t>
  </si>
  <si>
    <t>calc_opex_fix_pv</t>
  </si>
  <si>
    <t>calc_opex_var_pv</t>
  </si>
  <si>
    <t>calc_annuity_pv</t>
  </si>
  <si>
    <t>calc_verzinstinvest_pv</t>
  </si>
  <si>
    <t>calc_cost_pv</t>
  </si>
  <si>
    <t>annuity_wkaon</t>
  </si>
  <si>
    <t>result_wka_leistung</t>
  </si>
  <si>
    <t>result_wka_flowsum_generation</t>
  </si>
  <si>
    <t>calc_gesamtinvest_wka</t>
  </si>
  <si>
    <t>calc_opex_fix_wkaon</t>
  </si>
  <si>
    <t>calc_opex_var_wkaon</t>
  </si>
  <si>
    <t>calc_annuity_wka</t>
  </si>
  <si>
    <t>calc_verzinstinvest_wka</t>
  </si>
  <si>
    <t>calc_cost_wkaon</t>
  </si>
  <si>
    <t>result_stromverkauf_flowsum</t>
  </si>
  <si>
    <t>calc_einnahmen_stromverkauf_schattenvariable</t>
  </si>
  <si>
    <t>calc_einnahmen_stromverkauf</t>
  </si>
  <si>
    <t>result_h2verkauf_flowsum</t>
  </si>
  <si>
    <t>calc_einnahmen_h2verkauf</t>
  </si>
  <si>
    <t>result_nh3verkauf_flowsum</t>
  </si>
  <si>
    <t>calc_einnahmen_nh3verkauf</t>
  </si>
  <si>
    <t>calc_verzinstinvest_gesamt</t>
  </si>
  <si>
    <t>calc_gesamtinvest</t>
  </si>
  <si>
    <t>calc_opex_gesamt</t>
  </si>
  <si>
    <t>calc_verzinstinvest_annuity_gesamt</t>
  </si>
  <si>
    <t>calc_einnahmen_gesamt</t>
  </si>
  <si>
    <t>calc_ausgaben_gesamt</t>
  </si>
  <si>
    <t>calc_cost_gesamt</t>
  </si>
  <si>
    <t>calc_cost_el</t>
  </si>
  <si>
    <t>calc_cost_h2</t>
  </si>
  <si>
    <t>calc_cost_n2</t>
  </si>
  <si>
    <t>calc_cost_nh3</t>
  </si>
  <si>
    <t>calc_maxprice</t>
  </si>
  <si>
    <t>calc_price</t>
  </si>
  <si>
    <t>€/ kWa</t>
  </si>
  <si>
    <t>kW</t>
  </si>
  <si>
    <t>MWh/a</t>
  </si>
  <si>
    <t>kg_H2/a</t>
  </si>
  <si>
    <t>€</t>
  </si>
  <si>
    <t>€ h/ kg a</t>
  </si>
  <si>
    <t>kg_NH3/a</t>
  </si>
  <si>
    <t>kg_N2/a</t>
  </si>
  <si>
    <t>kW_el</t>
  </si>
  <si>
    <t>€/ kg a</t>
  </si>
  <si>
    <t>kg</t>
  </si>
  <si>
    <t>€/ kWh a</t>
  </si>
  <si>
    <t>kWh</t>
  </si>
  <si>
    <t>capex_pv</t>
  </si>
  <si>
    <t>€/kW</t>
  </si>
  <si>
    <t>Farbe</t>
  </si>
  <si>
    <t>col_pem</t>
  </si>
  <si>
    <t>col_pv</t>
  </si>
  <si>
    <t>capex_hb</t>
  </si>
  <si>
    <t>capex_asu</t>
  </si>
  <si>
    <t>capex_h2s</t>
  </si>
  <si>
    <t>capex_bat_leistung</t>
  </si>
  <si>
    <t>capex_wkaon</t>
  </si>
  <si>
    <t>col_hb</t>
  </si>
  <si>
    <t>col_asu</t>
  </si>
  <si>
    <t>col_h2s</t>
  </si>
  <si>
    <t>col_bat</t>
  </si>
  <si>
    <t>col_wka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</si>
</sst>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2" fontId="0" fillId="0" borderId="0" xfId="1" applyNumberFormat="1" applyFont="1" applyFill="1" applyBorder="1"/>
    <xf numFmtId="2" fontId="0" fillId="0" borderId="0" xfId="0" applyNumberFormat="1"/>
    <xf numFmtId="165" fontId="0" fillId="0" borderId="0" xfId="0" applyNumberFormat="1"/>
    <xf numFmtId="165" fontId="2" fillId="0" borderId="0" xfId="0" applyNumberFormat="1" applyFont="1"/>
    <xf numFmtId="2" fontId="0" fillId="0" borderId="0" xfId="0" applyNumberFormat="1" applyAlignment="1">
      <alignment horizontal="right"/>
    </xf>
    <xf numFmtId="0" fontId="2" fillId="0" borderId="1" xfId="0" applyFont="1" applyBorder="1"/>
    <xf numFmtId="0" fontId="0" fillId="0" borderId="1" xfId="0" applyBorder="1"/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1" fontId="0" fillId="0" borderId="0" xfId="0" applyNumberFormat="1"/>
    <xf numFmtId="0" fontId="0" fillId="0" borderId="2" xfId="0" applyBorder="1" applyAlignment="1">
      <alignment horizontal="center" vertical="top"/>
    </xf>
    <xf numFmtId="0" fontId="0" fillId="0" borderId="0" xfId="0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tabSelected="1" zoomScale="70" zoomScaleNormal="70" workbookViewId="0">
      <selection activeCell="H17" sqref="H17"/>
    </sheetView>
  </sheetViews>
  <sheetFormatPr baseColWidth="10" defaultColWidth="8.88671875" defaultRowHeight="14.4" x14ac:dyDescent="0.3"/>
  <cols>
    <col min="1" max="1" width="21" bestFit="1" customWidth="1"/>
    <col min="2" max="2" width="19" style="4" bestFit="1" customWidth="1"/>
    <col min="3" max="3" width="20.77734375" bestFit="1" customWidth="1"/>
    <col min="4" max="4" width="20.77734375" customWidth="1"/>
    <col min="5" max="5" width="13.88671875" bestFit="1" customWidth="1"/>
    <col min="6" max="6" width="14" bestFit="1" customWidth="1"/>
    <col min="7" max="7" width="10.77734375" bestFit="1" customWidth="1"/>
  </cols>
  <sheetData>
    <row r="1" spans="1:5" x14ac:dyDescent="0.3">
      <c r="A1" s="1" t="s">
        <v>1</v>
      </c>
      <c r="B1" s="5" t="s">
        <v>0</v>
      </c>
      <c r="C1" s="1" t="s">
        <v>3</v>
      </c>
      <c r="D1" s="1" t="s">
        <v>4</v>
      </c>
      <c r="E1" s="1" t="s">
        <v>130</v>
      </c>
    </row>
    <row r="2" spans="1:5" x14ac:dyDescent="0.3">
      <c r="A2" t="s">
        <v>2</v>
      </c>
      <c r="B2" s="6">
        <v>1500</v>
      </c>
      <c r="C2" s="11">
        <f>B2*0.5</f>
        <v>750</v>
      </c>
      <c r="D2" s="11">
        <f>B2*3</f>
        <v>4500</v>
      </c>
      <c r="E2" t="s">
        <v>131</v>
      </c>
    </row>
    <row r="3" spans="1:5" x14ac:dyDescent="0.3">
      <c r="A3" t="s">
        <v>128</v>
      </c>
      <c r="B3" s="3">
        <v>1100</v>
      </c>
      <c r="C3" s="11">
        <f t="shared" ref="C3:C8" si="0">B3*0.5</f>
        <v>550</v>
      </c>
      <c r="D3" s="11">
        <f t="shared" ref="D3:D8" si="1">B3*3</f>
        <v>3300</v>
      </c>
      <c r="E3" t="s">
        <v>132</v>
      </c>
    </row>
    <row r="4" spans="1:5" x14ac:dyDescent="0.3">
      <c r="A4" t="s">
        <v>133</v>
      </c>
      <c r="B4" s="3">
        <v>9070</v>
      </c>
      <c r="C4" s="11">
        <f t="shared" si="0"/>
        <v>4535</v>
      </c>
      <c r="D4" s="11">
        <f>B4*3</f>
        <v>27210</v>
      </c>
      <c r="E4" t="s">
        <v>138</v>
      </c>
    </row>
    <row r="5" spans="1:5" x14ac:dyDescent="0.3">
      <c r="A5" t="s">
        <v>134</v>
      </c>
      <c r="B5" s="3">
        <v>1990</v>
      </c>
      <c r="C5" s="11">
        <f t="shared" si="0"/>
        <v>995</v>
      </c>
      <c r="D5" s="11">
        <f t="shared" si="1"/>
        <v>5970</v>
      </c>
      <c r="E5" t="s">
        <v>139</v>
      </c>
    </row>
    <row r="6" spans="1:5" x14ac:dyDescent="0.3">
      <c r="A6" t="s">
        <v>135</v>
      </c>
      <c r="B6" s="3">
        <v>490</v>
      </c>
      <c r="C6" s="11">
        <f t="shared" si="0"/>
        <v>245</v>
      </c>
      <c r="D6" s="11">
        <f t="shared" si="1"/>
        <v>1470</v>
      </c>
      <c r="E6" t="s">
        <v>140</v>
      </c>
    </row>
    <row r="7" spans="1:5" x14ac:dyDescent="0.3">
      <c r="A7" t="s">
        <v>136</v>
      </c>
      <c r="B7" s="3">
        <v>424</v>
      </c>
      <c r="C7" s="11">
        <f t="shared" si="0"/>
        <v>212</v>
      </c>
      <c r="D7" s="11">
        <f t="shared" si="1"/>
        <v>1272</v>
      </c>
      <c r="E7" t="s">
        <v>141</v>
      </c>
    </row>
    <row r="8" spans="1:5" x14ac:dyDescent="0.3">
      <c r="A8" t="s">
        <v>137</v>
      </c>
      <c r="B8" s="2">
        <v>1080</v>
      </c>
      <c r="C8" s="11">
        <f t="shared" si="0"/>
        <v>540</v>
      </c>
      <c r="D8" s="11">
        <f t="shared" si="1"/>
        <v>3240</v>
      </c>
      <c r="E8" t="s">
        <v>142</v>
      </c>
    </row>
    <row r="9" spans="1:5" x14ac:dyDescent="0.3">
      <c r="B9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0969E-FF8D-4E07-84C2-402C85B868B8}">
  <dimension ref="A1:D121"/>
  <sheetViews>
    <sheetView zoomScaleNormal="100" workbookViewId="0">
      <selection activeCell="F16" sqref="F16"/>
    </sheetView>
  </sheetViews>
  <sheetFormatPr baseColWidth="10" defaultRowHeight="14.4" x14ac:dyDescent="0.3"/>
  <cols>
    <col min="1" max="1" width="13.44140625" customWidth="1"/>
    <col min="2" max="2" width="43.5546875" bestFit="1" customWidth="1"/>
    <col min="3" max="3" width="21.33203125" bestFit="1" customWidth="1"/>
  </cols>
  <sheetData>
    <row r="1" spans="1:4" ht="15" thickBot="1" x14ac:dyDescent="0.35">
      <c r="A1" s="7" t="s">
        <v>5</v>
      </c>
      <c r="B1" s="7" t="s">
        <v>1</v>
      </c>
      <c r="C1" s="7" t="s">
        <v>22</v>
      </c>
      <c r="D1" s="8"/>
    </row>
    <row r="2" spans="1:4" x14ac:dyDescent="0.3">
      <c r="A2" s="1"/>
      <c r="B2" s="1"/>
    </row>
    <row r="3" spans="1:4" x14ac:dyDescent="0.3">
      <c r="A3" s="9" t="s">
        <v>6</v>
      </c>
      <c r="B3" t="s">
        <v>2</v>
      </c>
      <c r="C3" t="s">
        <v>25</v>
      </c>
    </row>
    <row r="4" spans="1:4" x14ac:dyDescent="0.3">
      <c r="A4" s="9"/>
      <c r="B4" t="s">
        <v>133</v>
      </c>
    </row>
    <row r="5" spans="1:4" x14ac:dyDescent="0.3">
      <c r="A5" s="9"/>
      <c r="B5" t="s">
        <v>134</v>
      </c>
    </row>
    <row r="6" spans="1:4" x14ac:dyDescent="0.3">
      <c r="A6" s="9"/>
      <c r="B6" t="s">
        <v>135</v>
      </c>
    </row>
    <row r="7" spans="1:4" x14ac:dyDescent="0.3">
      <c r="A7" s="9"/>
      <c r="B7" t="s">
        <v>136</v>
      </c>
    </row>
    <row r="8" spans="1:4" x14ac:dyDescent="0.3">
      <c r="A8" s="9"/>
      <c r="B8" t="s">
        <v>128</v>
      </c>
    </row>
    <row r="9" spans="1:4" x14ac:dyDescent="0.3">
      <c r="A9" s="9"/>
      <c r="B9" t="s">
        <v>137</v>
      </c>
      <c r="C9" t="s">
        <v>129</v>
      </c>
    </row>
    <row r="10" spans="1:4" ht="15" thickBot="1" x14ac:dyDescent="0.35">
      <c r="A10" s="10"/>
      <c r="B10" s="8"/>
      <c r="C10" s="8"/>
      <c r="D10" s="8"/>
    </row>
    <row r="11" spans="1:4" x14ac:dyDescent="0.3">
      <c r="A11" s="12" t="s">
        <v>7</v>
      </c>
      <c r="B11" t="s">
        <v>27</v>
      </c>
      <c r="C11" t="s">
        <v>115</v>
      </c>
    </row>
    <row r="12" spans="1:4" x14ac:dyDescent="0.3">
      <c r="A12" s="13"/>
      <c r="B12" t="s">
        <v>28</v>
      </c>
      <c r="C12" t="s">
        <v>116</v>
      </c>
    </row>
    <row r="13" spans="1:4" x14ac:dyDescent="0.3">
      <c r="A13" s="13"/>
      <c r="B13" t="s">
        <v>29</v>
      </c>
      <c r="C13" t="s">
        <v>117</v>
      </c>
    </row>
    <row r="14" spans="1:4" x14ac:dyDescent="0.3">
      <c r="A14" s="13"/>
      <c r="B14" t="s">
        <v>30</v>
      </c>
      <c r="C14" t="s">
        <v>118</v>
      </c>
    </row>
    <row r="15" spans="1:4" x14ac:dyDescent="0.3">
      <c r="A15" s="13"/>
      <c r="B15" t="s">
        <v>31</v>
      </c>
      <c r="C15" t="s">
        <v>119</v>
      </c>
    </row>
    <row r="16" spans="1:4" x14ac:dyDescent="0.3">
      <c r="A16" s="13"/>
      <c r="B16" t="s">
        <v>32</v>
      </c>
      <c r="C16" t="s">
        <v>24</v>
      </c>
    </row>
    <row r="17" spans="1:3" x14ac:dyDescent="0.3">
      <c r="A17" s="13"/>
      <c r="B17" t="s">
        <v>33</v>
      </c>
      <c r="C17" t="s">
        <v>24</v>
      </c>
    </row>
    <row r="18" spans="1:3" x14ac:dyDescent="0.3">
      <c r="A18" s="13"/>
      <c r="B18" t="s">
        <v>34</v>
      </c>
      <c r="C18" t="s">
        <v>119</v>
      </c>
    </row>
    <row r="19" spans="1:3" x14ac:dyDescent="0.3">
      <c r="A19" s="13"/>
      <c r="B19" t="s">
        <v>35</v>
      </c>
      <c r="C19" t="s">
        <v>24</v>
      </c>
    </row>
    <row r="20" spans="1:3" x14ac:dyDescent="0.3">
      <c r="A20" s="13"/>
    </row>
    <row r="21" spans="1:3" x14ac:dyDescent="0.3">
      <c r="A21" s="13"/>
      <c r="B21" t="s">
        <v>36</v>
      </c>
      <c r="C21" t="s">
        <v>120</v>
      </c>
    </row>
    <row r="22" spans="1:3" x14ac:dyDescent="0.3">
      <c r="A22" s="13"/>
      <c r="B22" t="s">
        <v>37</v>
      </c>
      <c r="C22" t="s">
        <v>121</v>
      </c>
    </row>
    <row r="23" spans="1:3" x14ac:dyDescent="0.3">
      <c r="A23" s="13"/>
      <c r="B23" t="s">
        <v>38</v>
      </c>
      <c r="C23" t="s">
        <v>118</v>
      </c>
    </row>
    <row r="24" spans="1:3" x14ac:dyDescent="0.3">
      <c r="A24" s="13"/>
      <c r="B24" t="s">
        <v>39</v>
      </c>
      <c r="C24" t="s">
        <v>122</v>
      </c>
    </row>
    <row r="25" spans="1:3" x14ac:dyDescent="0.3">
      <c r="A25" s="13"/>
      <c r="B25" t="s">
        <v>40</v>
      </c>
      <c r="C25" t="s">
        <v>117</v>
      </c>
    </row>
    <row r="26" spans="1:3" x14ac:dyDescent="0.3">
      <c r="A26" s="13"/>
      <c r="B26" t="s">
        <v>41</v>
      </c>
      <c r="C26" t="s">
        <v>119</v>
      </c>
    </row>
    <row r="27" spans="1:3" x14ac:dyDescent="0.3">
      <c r="A27" s="13"/>
      <c r="B27" t="s">
        <v>42</v>
      </c>
      <c r="C27" t="s">
        <v>24</v>
      </c>
    </row>
    <row r="28" spans="1:3" x14ac:dyDescent="0.3">
      <c r="A28" s="13"/>
      <c r="B28" t="s">
        <v>43</v>
      </c>
      <c r="C28" t="s">
        <v>24</v>
      </c>
    </row>
    <row r="29" spans="1:3" x14ac:dyDescent="0.3">
      <c r="A29" s="13"/>
      <c r="B29" t="s">
        <v>44</v>
      </c>
      <c r="C29" t="s">
        <v>119</v>
      </c>
    </row>
    <row r="30" spans="1:3" x14ac:dyDescent="0.3">
      <c r="A30" s="13"/>
      <c r="B30" t="s">
        <v>45</v>
      </c>
      <c r="C30" t="s">
        <v>24</v>
      </c>
    </row>
    <row r="31" spans="1:3" x14ac:dyDescent="0.3">
      <c r="A31" s="13"/>
    </row>
    <row r="32" spans="1:3" x14ac:dyDescent="0.3">
      <c r="A32" s="13"/>
      <c r="B32" t="s">
        <v>46</v>
      </c>
      <c r="C32" t="s">
        <v>120</v>
      </c>
    </row>
    <row r="33" spans="1:3" x14ac:dyDescent="0.3">
      <c r="A33" s="13"/>
      <c r="B33" t="s">
        <v>47</v>
      </c>
      <c r="C33" t="s">
        <v>123</v>
      </c>
    </row>
    <row r="34" spans="1:3" x14ac:dyDescent="0.3">
      <c r="A34" s="13"/>
      <c r="B34" t="s">
        <v>48</v>
      </c>
      <c r="C34" t="s">
        <v>117</v>
      </c>
    </row>
    <row r="35" spans="1:3" x14ac:dyDescent="0.3">
      <c r="A35" s="13"/>
      <c r="B35" t="s">
        <v>49</v>
      </c>
      <c r="C35" t="s">
        <v>122</v>
      </c>
    </row>
    <row r="36" spans="1:3" x14ac:dyDescent="0.3">
      <c r="A36" s="13"/>
      <c r="B36" t="s">
        <v>50</v>
      </c>
      <c r="C36" t="s">
        <v>119</v>
      </c>
    </row>
    <row r="37" spans="1:3" x14ac:dyDescent="0.3">
      <c r="A37" s="13"/>
      <c r="B37" t="s">
        <v>51</v>
      </c>
      <c r="C37" t="s">
        <v>24</v>
      </c>
    </row>
    <row r="38" spans="1:3" x14ac:dyDescent="0.3">
      <c r="A38" s="13"/>
      <c r="B38" t="s">
        <v>52</v>
      </c>
      <c r="C38" t="s">
        <v>24</v>
      </c>
    </row>
    <row r="39" spans="1:3" x14ac:dyDescent="0.3">
      <c r="A39" s="13"/>
      <c r="B39" t="s">
        <v>53</v>
      </c>
      <c r="C39" t="s">
        <v>119</v>
      </c>
    </row>
    <row r="40" spans="1:3" x14ac:dyDescent="0.3">
      <c r="A40" s="13"/>
      <c r="B40" t="s">
        <v>54</v>
      </c>
      <c r="C40" t="s">
        <v>24</v>
      </c>
    </row>
    <row r="41" spans="1:3" x14ac:dyDescent="0.3">
      <c r="A41" s="13"/>
    </row>
    <row r="42" spans="1:3" x14ac:dyDescent="0.3">
      <c r="A42" s="13"/>
      <c r="B42" t="s">
        <v>55</v>
      </c>
      <c r="C42" t="s">
        <v>124</v>
      </c>
    </row>
    <row r="43" spans="1:3" x14ac:dyDescent="0.3">
      <c r="A43" s="13"/>
      <c r="B43" t="s">
        <v>56</v>
      </c>
      <c r="C43" t="s">
        <v>125</v>
      </c>
    </row>
    <row r="44" spans="1:3" x14ac:dyDescent="0.3">
      <c r="A44" s="13"/>
      <c r="B44" t="s">
        <v>57</v>
      </c>
      <c r="C44" t="s">
        <v>118</v>
      </c>
    </row>
    <row r="45" spans="1:3" x14ac:dyDescent="0.3">
      <c r="A45" s="13"/>
      <c r="B45" t="s">
        <v>58</v>
      </c>
      <c r="C45" t="s">
        <v>118</v>
      </c>
    </row>
    <row r="46" spans="1:3" x14ac:dyDescent="0.3">
      <c r="A46" s="13"/>
      <c r="B46" t="s">
        <v>59</v>
      </c>
      <c r="C46" t="s">
        <v>119</v>
      </c>
    </row>
    <row r="47" spans="1:3" x14ac:dyDescent="0.3">
      <c r="A47" s="13"/>
      <c r="B47" t="s">
        <v>60</v>
      </c>
      <c r="C47" t="s">
        <v>24</v>
      </c>
    </row>
    <row r="48" spans="1:3" x14ac:dyDescent="0.3">
      <c r="A48" s="13"/>
      <c r="B48" t="s">
        <v>61</v>
      </c>
      <c r="C48" t="s">
        <v>24</v>
      </c>
    </row>
    <row r="49" spans="1:3" x14ac:dyDescent="0.3">
      <c r="A49" s="13"/>
      <c r="B49" t="s">
        <v>62</v>
      </c>
      <c r="C49" t="s">
        <v>119</v>
      </c>
    </row>
    <row r="50" spans="1:3" x14ac:dyDescent="0.3">
      <c r="A50" s="13"/>
      <c r="B50" t="s">
        <v>63</v>
      </c>
      <c r="C50" t="s">
        <v>24</v>
      </c>
    </row>
    <row r="51" spans="1:3" x14ac:dyDescent="0.3">
      <c r="A51" s="13"/>
    </row>
    <row r="52" spans="1:3" x14ac:dyDescent="0.3">
      <c r="A52" s="13"/>
      <c r="B52" t="s">
        <v>64</v>
      </c>
      <c r="C52" t="s">
        <v>115</v>
      </c>
    </row>
    <row r="53" spans="1:3" x14ac:dyDescent="0.3">
      <c r="A53" s="13"/>
      <c r="B53" t="s">
        <v>65</v>
      </c>
      <c r="C53" t="s">
        <v>126</v>
      </c>
    </row>
    <row r="54" spans="1:3" x14ac:dyDescent="0.3">
      <c r="A54" s="13"/>
      <c r="B54" t="s">
        <v>66</v>
      </c>
      <c r="C54" t="s">
        <v>127</v>
      </c>
    </row>
    <row r="55" spans="1:3" x14ac:dyDescent="0.3">
      <c r="A55" s="13"/>
      <c r="B55" t="s">
        <v>67</v>
      </c>
      <c r="C55" t="s">
        <v>116</v>
      </c>
    </row>
    <row r="56" spans="1:3" x14ac:dyDescent="0.3">
      <c r="A56" s="13"/>
      <c r="B56" t="s">
        <v>68</v>
      </c>
      <c r="C56" t="s">
        <v>117</v>
      </c>
    </row>
    <row r="57" spans="1:3" x14ac:dyDescent="0.3">
      <c r="A57" s="13"/>
      <c r="B57" t="s">
        <v>69</v>
      </c>
      <c r="C57" t="s">
        <v>117</v>
      </c>
    </row>
    <row r="58" spans="1:3" x14ac:dyDescent="0.3">
      <c r="A58" s="13"/>
      <c r="B58" t="s">
        <v>70</v>
      </c>
      <c r="C58" t="s">
        <v>119</v>
      </c>
    </row>
    <row r="59" spans="1:3" x14ac:dyDescent="0.3">
      <c r="A59" s="13"/>
      <c r="B59" t="s">
        <v>71</v>
      </c>
      <c r="C59" t="s">
        <v>24</v>
      </c>
    </row>
    <row r="60" spans="1:3" x14ac:dyDescent="0.3">
      <c r="A60" s="13"/>
      <c r="B60" t="s">
        <v>72</v>
      </c>
      <c r="C60" t="s">
        <v>24</v>
      </c>
    </row>
    <row r="61" spans="1:3" x14ac:dyDescent="0.3">
      <c r="A61" s="13"/>
      <c r="B61" t="s">
        <v>73</v>
      </c>
      <c r="C61" t="s">
        <v>119</v>
      </c>
    </row>
    <row r="62" spans="1:3" x14ac:dyDescent="0.3">
      <c r="A62" s="13"/>
      <c r="B62" t="s">
        <v>74</v>
      </c>
      <c r="C62" t="s">
        <v>24</v>
      </c>
    </row>
    <row r="63" spans="1:3" x14ac:dyDescent="0.3">
      <c r="A63" s="13"/>
    </row>
    <row r="64" spans="1:3" x14ac:dyDescent="0.3">
      <c r="A64" s="13"/>
      <c r="B64" t="s">
        <v>75</v>
      </c>
      <c r="C64" t="s">
        <v>117</v>
      </c>
    </row>
    <row r="65" spans="1:3" x14ac:dyDescent="0.3">
      <c r="A65" s="13"/>
      <c r="B65" t="s">
        <v>76</v>
      </c>
      <c r="C65" t="s">
        <v>24</v>
      </c>
    </row>
    <row r="66" spans="1:3" x14ac:dyDescent="0.3">
      <c r="A66" s="13"/>
    </row>
    <row r="67" spans="1:3" x14ac:dyDescent="0.3">
      <c r="A67" s="13"/>
      <c r="B67" t="s">
        <v>77</v>
      </c>
      <c r="C67" t="s">
        <v>115</v>
      </c>
    </row>
    <row r="68" spans="1:3" x14ac:dyDescent="0.3">
      <c r="A68" s="13"/>
      <c r="B68" t="s">
        <v>78</v>
      </c>
      <c r="C68" t="s">
        <v>116</v>
      </c>
    </row>
    <row r="69" spans="1:3" x14ac:dyDescent="0.3">
      <c r="A69" s="13"/>
      <c r="B69" t="s">
        <v>79</v>
      </c>
      <c r="C69" t="s">
        <v>117</v>
      </c>
    </row>
    <row r="70" spans="1:3" x14ac:dyDescent="0.3">
      <c r="A70" s="13"/>
      <c r="B70" t="s">
        <v>80</v>
      </c>
      <c r="C70" t="s">
        <v>119</v>
      </c>
    </row>
    <row r="71" spans="1:3" x14ac:dyDescent="0.3">
      <c r="A71" s="13"/>
      <c r="B71" t="s">
        <v>81</v>
      </c>
      <c r="C71" t="s">
        <v>24</v>
      </c>
    </row>
    <row r="72" spans="1:3" x14ac:dyDescent="0.3">
      <c r="A72" s="13"/>
      <c r="B72" t="s">
        <v>82</v>
      </c>
      <c r="C72" t="s">
        <v>24</v>
      </c>
    </row>
    <row r="73" spans="1:3" x14ac:dyDescent="0.3">
      <c r="A73" s="13"/>
      <c r="B73" t="s">
        <v>83</v>
      </c>
      <c r="C73" t="s">
        <v>24</v>
      </c>
    </row>
    <row r="74" spans="1:3" x14ac:dyDescent="0.3">
      <c r="A74" s="13"/>
      <c r="B74" t="s">
        <v>84</v>
      </c>
      <c r="C74" t="s">
        <v>119</v>
      </c>
    </row>
    <row r="75" spans="1:3" x14ac:dyDescent="0.3">
      <c r="A75" s="13"/>
      <c r="B75" t="s">
        <v>85</v>
      </c>
      <c r="C75" t="s">
        <v>24</v>
      </c>
    </row>
    <row r="76" spans="1:3" x14ac:dyDescent="0.3">
      <c r="A76" s="13"/>
    </row>
    <row r="77" spans="1:3" x14ac:dyDescent="0.3">
      <c r="A77" s="13"/>
      <c r="B77" t="s">
        <v>86</v>
      </c>
      <c r="C77" t="s">
        <v>115</v>
      </c>
    </row>
    <row r="78" spans="1:3" x14ac:dyDescent="0.3">
      <c r="A78" s="13"/>
      <c r="B78" t="s">
        <v>87</v>
      </c>
      <c r="C78" t="s">
        <v>116</v>
      </c>
    </row>
    <row r="79" spans="1:3" x14ac:dyDescent="0.3">
      <c r="A79" s="13"/>
      <c r="B79" t="s">
        <v>88</v>
      </c>
      <c r="C79" t="s">
        <v>117</v>
      </c>
    </row>
    <row r="80" spans="1:3" x14ac:dyDescent="0.3">
      <c r="A80" s="13"/>
      <c r="B80" t="s">
        <v>89</v>
      </c>
      <c r="C80" t="s">
        <v>119</v>
      </c>
    </row>
    <row r="81" spans="1:3" x14ac:dyDescent="0.3">
      <c r="A81" s="13"/>
      <c r="B81" t="s">
        <v>90</v>
      </c>
      <c r="C81" t="s">
        <v>24</v>
      </c>
    </row>
    <row r="82" spans="1:3" x14ac:dyDescent="0.3">
      <c r="A82" s="13"/>
      <c r="B82" t="s">
        <v>91</v>
      </c>
      <c r="C82" t="s">
        <v>24</v>
      </c>
    </row>
    <row r="83" spans="1:3" x14ac:dyDescent="0.3">
      <c r="A83" s="13"/>
      <c r="B83" t="s">
        <v>92</v>
      </c>
      <c r="C83" t="s">
        <v>24</v>
      </c>
    </row>
    <row r="84" spans="1:3" x14ac:dyDescent="0.3">
      <c r="A84" s="13"/>
      <c r="B84" t="s">
        <v>93</v>
      </c>
      <c r="C84" t="s">
        <v>119</v>
      </c>
    </row>
    <row r="85" spans="1:3" x14ac:dyDescent="0.3">
      <c r="A85" s="13"/>
      <c r="B85" t="s">
        <v>94</v>
      </c>
      <c r="C85" t="s">
        <v>24</v>
      </c>
    </row>
    <row r="86" spans="1:3" x14ac:dyDescent="0.3">
      <c r="A86" s="13"/>
    </row>
    <row r="87" spans="1:3" x14ac:dyDescent="0.3">
      <c r="A87" s="13"/>
      <c r="B87" t="s">
        <v>95</v>
      </c>
      <c r="C87" t="s">
        <v>117</v>
      </c>
    </row>
    <row r="88" spans="1:3" x14ac:dyDescent="0.3">
      <c r="A88" s="13"/>
      <c r="B88" t="s">
        <v>96</v>
      </c>
      <c r="C88" t="s">
        <v>24</v>
      </c>
    </row>
    <row r="89" spans="1:3" x14ac:dyDescent="0.3">
      <c r="A89" s="13"/>
      <c r="B89" t="s">
        <v>97</v>
      </c>
      <c r="C89" t="s">
        <v>24</v>
      </c>
    </row>
    <row r="90" spans="1:3" x14ac:dyDescent="0.3">
      <c r="A90" s="13"/>
    </row>
    <row r="91" spans="1:3" x14ac:dyDescent="0.3">
      <c r="A91" s="13"/>
      <c r="B91" t="s">
        <v>98</v>
      </c>
      <c r="C91" t="s">
        <v>118</v>
      </c>
    </row>
    <row r="92" spans="1:3" x14ac:dyDescent="0.3">
      <c r="A92" s="13"/>
      <c r="B92" t="s">
        <v>99</v>
      </c>
      <c r="C92" t="s">
        <v>24</v>
      </c>
    </row>
    <row r="93" spans="1:3" x14ac:dyDescent="0.3">
      <c r="A93" s="13"/>
    </row>
    <row r="94" spans="1:3" x14ac:dyDescent="0.3">
      <c r="A94" s="13"/>
      <c r="B94" t="s">
        <v>100</v>
      </c>
      <c r="C94" t="s">
        <v>121</v>
      </c>
    </row>
    <row r="95" spans="1:3" x14ac:dyDescent="0.3">
      <c r="A95" s="13"/>
      <c r="B95" t="s">
        <v>101</v>
      </c>
      <c r="C95" t="s">
        <v>24</v>
      </c>
    </row>
    <row r="96" spans="1:3" x14ac:dyDescent="0.3">
      <c r="A96" s="13"/>
    </row>
    <row r="97" spans="1:3" x14ac:dyDescent="0.3">
      <c r="A97" s="13"/>
      <c r="B97" t="s">
        <v>102</v>
      </c>
      <c r="C97" t="s">
        <v>119</v>
      </c>
    </row>
    <row r="98" spans="1:3" x14ac:dyDescent="0.3">
      <c r="A98" s="13"/>
      <c r="B98" t="s">
        <v>103</v>
      </c>
      <c r="C98" t="s">
        <v>119</v>
      </c>
    </row>
    <row r="99" spans="1:3" x14ac:dyDescent="0.3">
      <c r="A99" s="13"/>
    </row>
    <row r="100" spans="1:3" x14ac:dyDescent="0.3">
      <c r="A100" s="13"/>
      <c r="B100" t="s">
        <v>104</v>
      </c>
      <c r="C100" t="s">
        <v>24</v>
      </c>
    </row>
    <row r="101" spans="1:3" x14ac:dyDescent="0.3">
      <c r="A101" s="13"/>
      <c r="B101" t="s">
        <v>105</v>
      </c>
      <c r="C101" t="s">
        <v>24</v>
      </c>
    </row>
    <row r="102" spans="1:3" x14ac:dyDescent="0.3">
      <c r="A102" s="13"/>
      <c r="B102" t="s">
        <v>106</v>
      </c>
      <c r="C102" t="s">
        <v>24</v>
      </c>
    </row>
    <row r="103" spans="1:3" x14ac:dyDescent="0.3">
      <c r="A103" s="13"/>
      <c r="B103" t="s">
        <v>107</v>
      </c>
      <c r="C103" t="s">
        <v>24</v>
      </c>
    </row>
    <row r="104" spans="1:3" x14ac:dyDescent="0.3">
      <c r="A104" s="13"/>
      <c r="B104" t="s">
        <v>23</v>
      </c>
      <c r="C104" t="s">
        <v>24</v>
      </c>
    </row>
    <row r="105" spans="1:3" x14ac:dyDescent="0.3">
      <c r="A105" s="13"/>
      <c r="B105" t="s">
        <v>108</v>
      </c>
      <c r="C105" t="s">
        <v>24</v>
      </c>
    </row>
    <row r="106" spans="1:3" x14ac:dyDescent="0.3">
      <c r="A106" s="13"/>
      <c r="B106" t="s">
        <v>8</v>
      </c>
      <c r="C106" t="s">
        <v>17</v>
      </c>
    </row>
    <row r="107" spans="1:3" x14ac:dyDescent="0.3">
      <c r="A107" s="13"/>
      <c r="B107" t="s">
        <v>9</v>
      </c>
      <c r="C107" t="s">
        <v>17</v>
      </c>
    </row>
    <row r="108" spans="1:3" x14ac:dyDescent="0.3">
      <c r="A108" s="13"/>
      <c r="B108" t="s">
        <v>10</v>
      </c>
      <c r="C108" t="s">
        <v>18</v>
      </c>
    </row>
    <row r="109" spans="1:3" x14ac:dyDescent="0.3">
      <c r="A109" s="13"/>
      <c r="B109" t="s">
        <v>11</v>
      </c>
      <c r="C109" t="s">
        <v>17</v>
      </c>
    </row>
    <row r="110" spans="1:3" x14ac:dyDescent="0.3">
      <c r="A110" s="13"/>
      <c r="B110" t="s">
        <v>12</v>
      </c>
      <c r="C110" t="s">
        <v>19</v>
      </c>
    </row>
    <row r="111" spans="1:3" x14ac:dyDescent="0.3">
      <c r="A111" s="13"/>
      <c r="B111" t="s">
        <v>13</v>
      </c>
      <c r="C111" t="s">
        <v>20</v>
      </c>
    </row>
    <row r="112" spans="1:3" x14ac:dyDescent="0.3">
      <c r="A112" s="13"/>
      <c r="B112" t="s">
        <v>14</v>
      </c>
      <c r="C112" t="s">
        <v>20</v>
      </c>
    </row>
    <row r="113" spans="1:3" x14ac:dyDescent="0.3">
      <c r="A113" s="13"/>
      <c r="B113" t="s">
        <v>15</v>
      </c>
      <c r="C113" t="s">
        <v>20</v>
      </c>
    </row>
    <row r="114" spans="1:3" x14ac:dyDescent="0.3">
      <c r="A114" s="13"/>
      <c r="B114" t="s">
        <v>16</v>
      </c>
      <c r="C114" t="s">
        <v>21</v>
      </c>
    </row>
    <row r="115" spans="1:3" x14ac:dyDescent="0.3">
      <c r="A115" s="13"/>
      <c r="B115" t="s">
        <v>109</v>
      </c>
      <c r="C115" t="s">
        <v>17</v>
      </c>
    </row>
    <row r="116" spans="1:3" x14ac:dyDescent="0.3">
      <c r="A116" s="13"/>
      <c r="B116" t="s">
        <v>110</v>
      </c>
      <c r="C116" t="s">
        <v>20</v>
      </c>
    </row>
    <row r="117" spans="1:3" x14ac:dyDescent="0.3">
      <c r="A117" s="13"/>
      <c r="B117" t="s">
        <v>111</v>
      </c>
      <c r="C117" t="s">
        <v>20</v>
      </c>
    </row>
    <row r="118" spans="1:3" x14ac:dyDescent="0.3">
      <c r="A118" s="13"/>
      <c r="B118" t="s">
        <v>112</v>
      </c>
      <c r="C118" t="s">
        <v>21</v>
      </c>
    </row>
    <row r="119" spans="1:3" x14ac:dyDescent="0.3">
      <c r="A119" s="13"/>
    </row>
    <row r="120" spans="1:3" x14ac:dyDescent="0.3">
      <c r="A120" s="13"/>
      <c r="B120" t="s">
        <v>113</v>
      </c>
      <c r="C120" t="s">
        <v>26</v>
      </c>
    </row>
    <row r="121" spans="1:3" x14ac:dyDescent="0.3">
      <c r="A121" s="13"/>
      <c r="B121" t="s">
        <v>114</v>
      </c>
      <c r="C121" t="s">
        <v>26</v>
      </c>
    </row>
  </sheetData>
  <mergeCells count="1">
    <mergeCell ref="A11:A12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Geiss</cp:lastModifiedBy>
  <dcterms:created xsi:type="dcterms:W3CDTF">2015-06-05T18:19:34Z</dcterms:created>
  <dcterms:modified xsi:type="dcterms:W3CDTF">2025-12-09T12:09:34Z</dcterms:modified>
</cp:coreProperties>
</file>