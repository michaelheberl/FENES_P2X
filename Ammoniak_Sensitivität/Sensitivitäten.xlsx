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Ammoniak_Sensitivität\"/>
    </mc:Choice>
  </mc:AlternateContent>
  <xr:revisionPtr revIDLastSave="0" documentId="13_ncr:1_{47F4F4A8-5ABF-48E7-BB68-8F8E4E10C221}" xr6:coauthVersionLast="47" xr6:coauthVersionMax="47" xr10:uidLastSave="{00000000-0000-0000-0000-000000000000}"/>
  <bookViews>
    <workbookView xWindow="28680" yWindow="-120" windowWidth="38640" windowHeight="23520" activeTab="1" xr2:uid="{00000000-000D-0000-FFFF-FFFF00000000}"/>
  </bookViews>
  <sheets>
    <sheet name="Datenauswahl" sheetId="1" r:id="rId1"/>
    <sheet name="MonteCarlo" sheetId="7" r:id="rId2"/>
    <sheet name="Grenze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C4" i="1"/>
  <c r="D4" i="1"/>
  <c r="C5" i="1"/>
  <c r="D5" i="1"/>
  <c r="C6" i="1"/>
  <c r="D6" i="1"/>
  <c r="C7" i="1"/>
  <c r="D7" i="1"/>
  <c r="C8" i="1"/>
  <c r="D8" i="1"/>
  <c r="C9" i="1"/>
  <c r="D9" i="1"/>
  <c r="D10" i="1"/>
  <c r="C10" i="1"/>
  <c r="D11" i="1"/>
  <c r="C11" i="1"/>
  <c r="D2" i="1"/>
  <c r="C2" i="1"/>
  <c r="B6" i="1"/>
</calcChain>
</file>

<file path=xl/sharedStrings.xml><?xml version="1.0" encoding="utf-8"?>
<sst xmlns="http://schemas.openxmlformats.org/spreadsheetml/2006/main" count="61" uniqueCount="44">
  <si>
    <t>Wert</t>
  </si>
  <si>
    <t>Variable</t>
  </si>
  <si>
    <t>capex_pem</t>
  </si>
  <si>
    <t>capex_hb</t>
  </si>
  <si>
    <t>capex_asu</t>
  </si>
  <si>
    <t>capex_h2s</t>
  </si>
  <si>
    <t>capex_pv</t>
  </si>
  <si>
    <t>capex_wkaon</t>
  </si>
  <si>
    <t>capex_bat_leistung</t>
  </si>
  <si>
    <t>capex_bat_kapa</t>
  </si>
  <si>
    <t>wasserstofferloes</t>
  </si>
  <si>
    <t>ammoniakerloes</t>
  </si>
  <si>
    <t>lower bound [%]</t>
  </si>
  <si>
    <t>upper bound [%]</t>
  </si>
  <si>
    <t>lower bound</t>
  </si>
  <si>
    <t>upper bound</t>
  </si>
  <si>
    <t>Prozess</t>
  </si>
  <si>
    <t>Inputs</t>
  </si>
  <si>
    <t>Outputs</t>
  </si>
  <si>
    <t>calc_lcoe_wka</t>
  </si>
  <si>
    <t>calc_lcoe_pv</t>
  </si>
  <si>
    <t>calc_lcoe_bat</t>
  </si>
  <si>
    <t>calc_lcoe_mix</t>
  </si>
  <si>
    <t>calc_lcoh_h2s</t>
  </si>
  <si>
    <t>calc_lcoh_pem</t>
  </si>
  <si>
    <t>calc_lcoh_h2</t>
  </si>
  <si>
    <t>calc_lcon_asu</t>
  </si>
  <si>
    <t>calc_lcof_hb</t>
  </si>
  <si>
    <t>ct/kWh</t>
  </si>
  <si>
    <t>ct/kWh Speichermenge</t>
  </si>
  <si>
    <t>€/kg Speichermenge</t>
  </si>
  <si>
    <t>€/kg</t>
  </si>
  <si>
    <t>€/t</t>
  </si>
  <si>
    <t>Einheit</t>
  </si>
  <si>
    <t>calc_GuV</t>
  </si>
  <si>
    <t>€/a</t>
  </si>
  <si>
    <t>€/kW_el</t>
  </si>
  <si>
    <t>€/kg_NH3 *h</t>
  </si>
  <si>
    <t>€/kg_N2 *h</t>
  </si>
  <si>
    <t>€/kg_H2 * h</t>
  </si>
  <si>
    <t>€/kW</t>
  </si>
  <si>
    <t>€/kWh</t>
  </si>
  <si>
    <t>€/kg_H2</t>
  </si>
  <si>
    <t>€/kg_NH3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</si>
</sst>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€&quot;\ * #,##0.00_-;\-&quot;€&quot;\ * #,##0.00_-;_-&quot;€&quot;\ * &quot;-&quot;??_-;_-@_-"/>
    <numFmt numFmtId="164" formatCode="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2" fontId="0" fillId="0" borderId="0" xfId="1" applyNumberFormat="1" applyFont="1" applyFill="1" applyBorder="1"/>
    <xf numFmtId="0" fontId="0" fillId="0" borderId="0" xfId="0" applyBorder="1"/>
    <xf numFmtId="2" fontId="0" fillId="0" borderId="0" xfId="0" applyNumberFormat="1" applyBorder="1"/>
    <xf numFmtId="164" fontId="0" fillId="0" borderId="0" xfId="0" applyNumberFormat="1" applyBorder="1"/>
    <xf numFmtId="0" fontId="2" fillId="0" borderId="0" xfId="0" applyFont="1" applyBorder="1"/>
    <xf numFmtId="164" fontId="2" fillId="0" borderId="0" xfId="0" applyNumberFormat="1" applyFont="1" applyBorder="1"/>
    <xf numFmtId="2" fontId="0" fillId="0" borderId="0" xfId="0" applyNumberFormat="1" applyBorder="1" applyAlignment="1">
      <alignment horizontal="right"/>
    </xf>
    <xf numFmtId="0" fontId="0" fillId="0" borderId="0" xfId="0" applyAlignment="1">
      <alignment horizontal="left" vertical="top"/>
    </xf>
    <xf numFmtId="0" fontId="2" fillId="0" borderId="1" xfId="0" applyFont="1" applyBorder="1"/>
    <xf numFmtId="0" fontId="0" fillId="0" borderId="1" xfId="0" applyBorder="1"/>
    <xf numFmtId="0" fontId="0" fillId="0" borderId="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3" fillId="0" borderId="0" xfId="0" applyFon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zoomScale="190" zoomScaleNormal="190" workbookViewId="0">
      <selection sqref="A1:B11"/>
    </sheetView>
  </sheetViews>
  <sheetFormatPr baseColWidth="10" defaultColWidth="8.88671875" defaultRowHeight="14.4" x14ac:dyDescent="0.3"/>
  <cols>
    <col min="1" max="1" width="21" style="3" bestFit="1" customWidth="1"/>
    <col min="2" max="2" width="19" style="5" bestFit="1" customWidth="1"/>
    <col min="3" max="3" width="20.77734375" bestFit="1" customWidth="1"/>
    <col min="4" max="4" width="20.77734375" customWidth="1"/>
    <col min="5" max="5" width="13.88671875" bestFit="1" customWidth="1"/>
    <col min="6" max="6" width="14" bestFit="1" customWidth="1"/>
    <col min="7" max="7" width="10.77734375" bestFit="1" customWidth="1"/>
  </cols>
  <sheetData>
    <row r="1" spans="1:4" x14ac:dyDescent="0.3">
      <c r="A1" s="6" t="s">
        <v>1</v>
      </c>
      <c r="B1" s="7" t="s">
        <v>0</v>
      </c>
      <c r="C1" s="1" t="s">
        <v>14</v>
      </c>
      <c r="D1" s="1" t="s">
        <v>15</v>
      </c>
    </row>
    <row r="2" spans="1:4" x14ac:dyDescent="0.3">
      <c r="A2" s="3" t="s">
        <v>2</v>
      </c>
      <c r="B2" s="8">
        <v>1000</v>
      </c>
      <c r="C2">
        <f>$B2*Grenzen!A$2</f>
        <v>800</v>
      </c>
      <c r="D2">
        <f>$B2*Grenzen!B$2</f>
        <v>1200</v>
      </c>
    </row>
    <row r="3" spans="1:4" x14ac:dyDescent="0.3">
      <c r="A3" s="3" t="s">
        <v>3</v>
      </c>
      <c r="B3" s="4">
        <v>9070</v>
      </c>
      <c r="C3">
        <f>$B3*Grenzen!A$2</f>
        <v>7256</v>
      </c>
      <c r="D3">
        <f>$B3*Grenzen!B$2</f>
        <v>10884</v>
      </c>
    </row>
    <row r="4" spans="1:4" x14ac:dyDescent="0.3">
      <c r="A4" s="3" t="s">
        <v>4</v>
      </c>
      <c r="B4" s="4">
        <v>1990</v>
      </c>
      <c r="C4">
        <f>$B4*Grenzen!A$2</f>
        <v>1592</v>
      </c>
      <c r="D4">
        <f>$B4*Grenzen!B$2</f>
        <v>2388</v>
      </c>
    </row>
    <row r="5" spans="1:4" x14ac:dyDescent="0.3">
      <c r="A5" s="3" t="s">
        <v>5</v>
      </c>
      <c r="B5" s="4">
        <v>490</v>
      </c>
      <c r="C5">
        <f>$B5*Grenzen!A$2</f>
        <v>392</v>
      </c>
      <c r="D5">
        <f>$B5*Grenzen!B$2</f>
        <v>588</v>
      </c>
    </row>
    <row r="6" spans="1:4" x14ac:dyDescent="0.3">
      <c r="A6" s="3" t="s">
        <v>8</v>
      </c>
      <c r="B6" s="4">
        <f>B7*4</f>
        <v>424</v>
      </c>
      <c r="C6">
        <f>$B6*Grenzen!A$2</f>
        <v>339.20000000000005</v>
      </c>
      <c r="D6">
        <f>$B6*Grenzen!B$2</f>
        <v>508.79999999999995</v>
      </c>
    </row>
    <row r="7" spans="1:4" x14ac:dyDescent="0.3">
      <c r="A7" s="3" t="s">
        <v>9</v>
      </c>
      <c r="B7" s="4">
        <v>106</v>
      </c>
      <c r="C7">
        <f>$B7*Grenzen!A$2</f>
        <v>84.800000000000011</v>
      </c>
      <c r="D7">
        <f>$B7*Grenzen!B$2</f>
        <v>127.19999999999999</v>
      </c>
    </row>
    <row r="8" spans="1:4" x14ac:dyDescent="0.3">
      <c r="A8" s="3" t="s">
        <v>6</v>
      </c>
      <c r="B8" s="2">
        <v>1100</v>
      </c>
      <c r="C8">
        <f>$B8*Grenzen!A$2</f>
        <v>880</v>
      </c>
      <c r="D8">
        <f>$B8*Grenzen!B$2</f>
        <v>1320</v>
      </c>
    </row>
    <row r="9" spans="1:4" x14ac:dyDescent="0.3">
      <c r="A9" s="3" t="s">
        <v>7</v>
      </c>
      <c r="B9" s="2">
        <v>1080</v>
      </c>
      <c r="C9">
        <f>$B9*Grenzen!A$2</f>
        <v>864</v>
      </c>
      <c r="D9">
        <f>$B9*Grenzen!B$2</f>
        <v>1296</v>
      </c>
    </row>
    <row r="10" spans="1:4" x14ac:dyDescent="0.3">
      <c r="A10" s="3" t="s">
        <v>10</v>
      </c>
      <c r="B10" s="5">
        <v>-1.5</v>
      </c>
      <c r="C10">
        <f>$B10*Grenzen!B$2</f>
        <v>-1.7999999999999998</v>
      </c>
      <c r="D10">
        <f>$B10*Grenzen!A$2</f>
        <v>-1.2000000000000002</v>
      </c>
    </row>
    <row r="11" spans="1:4" x14ac:dyDescent="0.3">
      <c r="A11" s="3" t="s">
        <v>11</v>
      </c>
      <c r="B11" s="5">
        <v>-0.8</v>
      </c>
      <c r="C11">
        <f>$B11*Grenzen!B$2</f>
        <v>-0.96</v>
      </c>
      <c r="D11">
        <f>$B11*Grenzen!A$2</f>
        <v>-0.64000000000000012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969E-FF8D-4E07-84C2-402C85B868B8}">
  <dimension ref="A1:D24"/>
  <sheetViews>
    <sheetView tabSelected="1" zoomScale="175" zoomScaleNormal="175" workbookViewId="0">
      <selection activeCell="I29" sqref="I29"/>
    </sheetView>
  </sheetViews>
  <sheetFormatPr baseColWidth="10" defaultRowHeight="14.4" x14ac:dyDescent="0.3"/>
  <cols>
    <col min="1" max="1" width="13.44140625" customWidth="1"/>
    <col min="2" max="2" width="17.77734375" bestFit="1" customWidth="1"/>
    <col min="3" max="3" width="21.33203125" bestFit="1" customWidth="1"/>
  </cols>
  <sheetData>
    <row r="1" spans="1:4" ht="15" thickBot="1" x14ac:dyDescent="0.35">
      <c r="A1" s="10" t="s">
        <v>16</v>
      </c>
      <c r="B1" s="10" t="s">
        <v>1</v>
      </c>
      <c r="C1" s="10" t="s">
        <v>33</v>
      </c>
      <c r="D1" s="11"/>
    </row>
    <row r="2" spans="1:4" x14ac:dyDescent="0.3">
      <c r="A2" s="1"/>
      <c r="B2" s="6"/>
    </row>
    <row r="3" spans="1:4" x14ac:dyDescent="0.3">
      <c r="A3" s="12" t="s">
        <v>17</v>
      </c>
      <c r="B3" s="3" t="s">
        <v>2</v>
      </c>
      <c r="C3" s="3" t="s">
        <v>36</v>
      </c>
      <c r="D3" s="3"/>
    </row>
    <row r="4" spans="1:4" x14ac:dyDescent="0.3">
      <c r="A4" s="12"/>
      <c r="B4" s="3" t="s">
        <v>3</v>
      </c>
      <c r="C4" s="4" t="s">
        <v>37</v>
      </c>
      <c r="D4" s="3"/>
    </row>
    <row r="5" spans="1:4" x14ac:dyDescent="0.3">
      <c r="A5" s="12"/>
      <c r="B5" s="3" t="s">
        <v>4</v>
      </c>
      <c r="C5" s="3" t="s">
        <v>38</v>
      </c>
      <c r="D5" s="3"/>
    </row>
    <row r="6" spans="1:4" x14ac:dyDescent="0.3">
      <c r="A6" s="12"/>
      <c r="B6" s="3" t="s">
        <v>5</v>
      </c>
      <c r="C6" s="15" t="s">
        <v>39</v>
      </c>
      <c r="D6" s="3"/>
    </row>
    <row r="7" spans="1:4" x14ac:dyDescent="0.3">
      <c r="A7" s="12"/>
      <c r="B7" s="3" t="s">
        <v>8</v>
      </c>
      <c r="C7" s="3" t="s">
        <v>40</v>
      </c>
      <c r="D7" s="3"/>
    </row>
    <row r="8" spans="1:4" x14ac:dyDescent="0.3">
      <c r="A8" s="12"/>
      <c r="B8" s="3" t="s">
        <v>9</v>
      </c>
      <c r="C8" s="3" t="s">
        <v>41</v>
      </c>
      <c r="D8" s="3"/>
    </row>
    <row r="9" spans="1:4" x14ac:dyDescent="0.3">
      <c r="A9" s="12"/>
      <c r="B9" s="3" t="s">
        <v>6</v>
      </c>
      <c r="C9" s="3" t="s">
        <v>40</v>
      </c>
      <c r="D9" s="3"/>
    </row>
    <row r="10" spans="1:4" x14ac:dyDescent="0.3">
      <c r="A10" s="12"/>
      <c r="B10" s="3" t="s">
        <v>7</v>
      </c>
      <c r="C10" s="3" t="s">
        <v>40</v>
      </c>
      <c r="D10" s="3"/>
    </row>
    <row r="11" spans="1:4" x14ac:dyDescent="0.3">
      <c r="A11" s="12"/>
      <c r="B11" s="3" t="s">
        <v>10</v>
      </c>
      <c r="C11" s="3" t="s">
        <v>42</v>
      </c>
      <c r="D11" s="3"/>
    </row>
    <row r="12" spans="1:4" x14ac:dyDescent="0.3">
      <c r="A12" s="12"/>
      <c r="B12" s="3" t="s">
        <v>11</v>
      </c>
      <c r="C12" s="3" t="s">
        <v>43</v>
      </c>
      <c r="D12" s="3"/>
    </row>
    <row r="13" spans="1:4" ht="15" thickBot="1" x14ac:dyDescent="0.35">
      <c r="A13" s="13"/>
      <c r="B13" s="11"/>
      <c r="C13" s="11"/>
      <c r="D13" s="11"/>
    </row>
    <row r="14" spans="1:4" x14ac:dyDescent="0.3">
      <c r="A14" s="14" t="s">
        <v>18</v>
      </c>
      <c r="B14" t="s">
        <v>19</v>
      </c>
      <c r="C14" t="s">
        <v>28</v>
      </c>
    </row>
    <row r="15" spans="1:4" x14ac:dyDescent="0.3">
      <c r="A15" s="9"/>
      <c r="B15" t="s">
        <v>20</v>
      </c>
      <c r="C15" t="s">
        <v>28</v>
      </c>
    </row>
    <row r="16" spans="1:4" x14ac:dyDescent="0.3">
      <c r="A16" s="9"/>
      <c r="B16" t="s">
        <v>21</v>
      </c>
      <c r="C16" t="s">
        <v>29</v>
      </c>
    </row>
    <row r="17" spans="1:3" x14ac:dyDescent="0.3">
      <c r="A17" s="9"/>
      <c r="B17" t="s">
        <v>22</v>
      </c>
      <c r="C17" t="s">
        <v>28</v>
      </c>
    </row>
    <row r="18" spans="1:3" x14ac:dyDescent="0.3">
      <c r="A18" s="9"/>
      <c r="B18" t="s">
        <v>23</v>
      </c>
      <c r="C18" t="s">
        <v>30</v>
      </c>
    </row>
    <row r="19" spans="1:3" x14ac:dyDescent="0.3">
      <c r="A19" s="9"/>
      <c r="B19" t="s">
        <v>24</v>
      </c>
      <c r="C19" t="s">
        <v>31</v>
      </c>
    </row>
    <row r="20" spans="1:3" x14ac:dyDescent="0.3">
      <c r="A20" s="9"/>
      <c r="B20" t="s">
        <v>25</v>
      </c>
      <c r="C20" t="s">
        <v>31</v>
      </c>
    </row>
    <row r="21" spans="1:3" x14ac:dyDescent="0.3">
      <c r="A21" s="9"/>
      <c r="B21" t="s">
        <v>26</v>
      </c>
      <c r="C21" t="s">
        <v>31</v>
      </c>
    </row>
    <row r="22" spans="1:3" x14ac:dyDescent="0.3">
      <c r="A22" s="9"/>
      <c r="B22" t="s">
        <v>27</v>
      </c>
      <c r="C22" t="s">
        <v>32</v>
      </c>
    </row>
    <row r="23" spans="1:3" x14ac:dyDescent="0.3">
      <c r="A23" s="9"/>
      <c r="B23" t="s">
        <v>34</v>
      </c>
      <c r="C23" t="s">
        <v>35</v>
      </c>
    </row>
    <row r="24" spans="1:3" x14ac:dyDescent="0.3">
      <c r="A24" s="9"/>
    </row>
  </sheetData>
  <mergeCells count="2">
    <mergeCell ref="A3:A13"/>
    <mergeCell ref="A14:A2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C43F3-B1DE-4E22-BF24-C80089CCAE00}">
  <dimension ref="A1:B2"/>
  <sheetViews>
    <sheetView workbookViewId="0">
      <selection activeCell="C8" sqref="C8"/>
    </sheetView>
  </sheetViews>
  <sheetFormatPr baseColWidth="10" defaultRowHeight="14.4" x14ac:dyDescent="0.3"/>
  <cols>
    <col min="1" max="1" width="15.21875" bestFit="1" customWidth="1"/>
    <col min="2" max="2" width="15.44140625" bestFit="1" customWidth="1"/>
  </cols>
  <sheetData>
    <row r="1" spans="1:2" x14ac:dyDescent="0.3">
      <c r="A1" s="1" t="s">
        <v>12</v>
      </c>
      <c r="B1" s="1" t="s">
        <v>13</v>
      </c>
    </row>
    <row r="2" spans="1:2" x14ac:dyDescent="0.3">
      <c r="A2">
        <v>0.8</v>
      </c>
      <c r="B2">
        <v>1.2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MonteCarlo</vt:lpstr>
      <vt:lpstr>Grenzen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2025-04-09T07:59:20Z</dcterms:modified>
</cp:coreProperties>
</file>