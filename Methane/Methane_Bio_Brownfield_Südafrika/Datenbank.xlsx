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e\Methane_Bio_Brownfield_Südafrika\"/>
    </mc:Choice>
  </mc:AlternateContent>
  <xr:revisionPtr revIDLastSave="0" documentId="13_ncr:1_{6A72F9B1-7FED-4466-B366-DA2F3C3CD77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29" authorId="1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0" authorId="1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1" authorId="1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<sst xmlns="http://schemas.openxmlformats.org/spreadsheetml/2006/main" count="471" uniqueCount="286">
  <si>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</si>
  <si>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</si>
  <si>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</si>
  <si>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</si>
  <si>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</si>
  <si>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</si>
  <si>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</si>
  <si>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</si>
  <si>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</si>
  <si>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</si>
  <si>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</si>
  <si>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</si>
  <si>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</si>
  <si>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</si>
  <si>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</si>
  <si>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</si>
  <si>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</si>
  <si>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</si>
  <si>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</si>
  <si>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</si>
  <si>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</si>
  <si>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</si>
  <si>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</si>
  <si>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</si>
  <si>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</si>
  <si>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</si>
  <si>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</si>
  <si>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</si>
  <si>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</si>
  <si>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</si>
  <si>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</si>
  <si>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</si>
  <si>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</si>
  <si>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</si>
  <si>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</si>
  <si>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</si>
  <si>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</si>
  <si>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</si>
  <si>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</si>
  <si>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</si>
  <si>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</si>
  <si>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</si>
  <si>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</si>
  <si>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</si>
  <si>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</si>
  <si>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</si>
  <si>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</si>
  <si>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</si>
  <si>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</si>
  <si>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</si>
  <si>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</si>
  <si>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</si>
  <si>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</si>
  <si>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</si>
  <si>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</si>
  <si>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</si>
  <si>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</si>
  <si>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</si>
  <si>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</si>
  <si>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</si>
  <si>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</si>
  <si>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</si>
  <si>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</si>
  <si>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</si>
  <si>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</si>
  <si>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</si>
  <si>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</si>
  <si>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</si>
  <si>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</si>
  <si>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</si>
  <si>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</si>
  <si>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</si>
  <si>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</si>
  <si>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</si>
  <si>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</si>
  <si>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</si>
  <si>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</si>
  <si>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</si>
  <si>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</si>
  <si>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</si>
  <si>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</si>
  <si>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</si>
  <si>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</si>
  <si>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</si>
  <si>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</si>
  <si>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</si>
  <si>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</si>
  <si>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</si>
  <si>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</si>
  <si>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</si>
  <si>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</si>
  <si>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</si>
  <si>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</si>
  <si>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</si>
  <si>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</si>
  <si>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</si>
  <si>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</si>
  <si>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</si>
  <si>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</si>
  <si>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</si>
  <si>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</si>
  <si>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</si>
  <si>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</si>
  <si>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</si>
  <si>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</si>
  <si>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</si>
  <si>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</si>
  <si>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</si>
  <si>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</si>
  <si>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</si>
  <si>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</si>
  <si>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</si>
  <si>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</si>
  <si>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</si>
  <si>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</si>
  <si>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</si>
  <si>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</si>
  <si>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</si>
  <si>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</si>
  <si>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</si>
  <si>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</si>
  <si>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</si>
  <si>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</si>
  <si>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</si>
  <si>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</si>
  <si>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</si>
  <si>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</si>
  <si>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</si>
  <si>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</si>
  <si>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</si>
  <si>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</si>
  <si>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</si>
  <si>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</si>
  <si>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</si>
  <si>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</si>
  <si>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</si>
  <si>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</si>
  <si>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</si>
  <si>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</si>
  <si>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</si>
  <si>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</si>
  <si>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</si>
  <si>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</si>
  <si>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</si>
  <si>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</si>
  <si>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</si>
  <si>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</si>
  <si>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</si>
  <si>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</si>
  <si>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</si>
  <si>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</si>
  <si>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</si>
  <si>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</si>
  <si>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</si>
  <si>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</si>
  <si>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</si>
  <si>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</si>
  <si>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</si>
  <si>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</si>
  <si>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</si>
  <si>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</si>
  <si>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</si>
  <si>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</si>
  <si>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</si>
  <si>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</si>
  <si>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</si>
  <si>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</si>
  <si>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</si>
  <si>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</si>
  <si>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</si>
  <si>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</si>
  <si>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</si>
  <si>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</si>
  <si>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</si>
  <si>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</si>
  <si>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</si>
  <si>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</si>
  <si>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</si>
  <si>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</si>
  <si>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</si>
  <si>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</si>
  <si>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</si>
  <si>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</si>
  <si>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</si>
  <si>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</si>
  <si>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</si>
  <si>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</si>
  <si>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</si>
  <si>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</si>
  <si>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</si>
  <si>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</si>
  <si>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</si>
  <si>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</si>
  <si>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</si>
  <si>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</si>
  <si>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</si>
  <si>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</si>
  <si>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</si>
  <si>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</si>
  <si>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</si>
  <si>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</si>
  <si>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</si>
  <si>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</si>
  <si>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</si>
  <si>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</si>
  <si>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</si>
  <si>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</si>
  <si>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</si>
  <si>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</si>
  <si>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</si>
  <si>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</si>
  <si>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</si>
  <si>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</si>
  <si>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</si>
  <si>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</si>
  <si>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</si>
  <si>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</si>
  <si>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</si>
  <si>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</si>
  <si>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</si>
  <si>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</si>
  <si>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</si>
  <si>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</si>
  <si>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</si>
  <si>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</si>
  <si>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</si>
  <si>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</si>
  <si>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</si>
  <si>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Kohlenstoffdioxidbedarf Mengenverhältnis</t>
  </si>
  <si>
    <t>Methanolproduktion</t>
  </si>
  <si>
    <t>Kohlendioxidbedarf</t>
  </si>
  <si>
    <t>kg_CO2/a</t>
  </si>
  <si>
    <t>Gesamtkosten pro kg Kohlendioxid</t>
  </si>
  <si>
    <t>calc_cost_co2</t>
  </si>
  <si>
    <t>Gesamtkosten pro t Methanol</t>
  </si>
  <si>
    <t>calc_annuity_gesamt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</si>
  <si>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</si>
  <si>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</si>
  <si>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</si>
  <si>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</si>
  <si>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</si>
  <si>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</si>
  <si>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</si>
  <si>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</si>
  <si>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</si>
  <si>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</si>
  <si>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</si>
  <si>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</si>
  <si>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</si>
  <si>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</si>
  <si>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</si>
  <si>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</si>
  <si>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</si>
  <si>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</si>
  <si>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</si>
  <si>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</si>
  <si>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</si>
  <si>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</si>
  <si>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</si>
  <si>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</si>
  <si>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</si>
  <si>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</si>
  <si>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</si>
  <si>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</si>
  <si>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</si>
  <si>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</si>
  <si>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</si>
  <si>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</si>
  <si>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</si>
  <si>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</si>
  <si>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</si>
  <si>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</si>
  <si>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</si>
  <si>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</si>
  <si>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</si>
  <si>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</si>
  <si>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</si>
  <si>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</si>
  <si>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</si>
  <si>
    <t>Biogas</t>
  </si>
  <si>
    <t>Biogaspreis</t>
  </si>
  <si>
    <t>biogaspreis</t>
  </si>
  <si>
    <t>Biogas Bezug</t>
  </si>
  <si>
    <t>result_biogasbezug_flowsum</t>
  </si>
  <si>
    <t>Kosten Biogas</t>
  </si>
  <si>
    <t>calc_biogasbezug_kosten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</si>
</sst>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8">
    <xf numFmtId="0" fontId="0" fillId="0" borderId="0" xfId="0"/>
    <xf numFmtId="2" fontId="2" fillId="0" borderId="0" xfId="1" applyNumberFormat="1" applyFont="1" applyFill="1" applyBorder="1"/>
    <xf numFmtId="165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4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4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4" fontId="2" fillId="0" borderId="0" xfId="0" applyNumberFormat="1" applyFont="1"/>
    <xf numFmtId="0" fontId="5" fillId="0" borderId="0" xfId="0" applyFont="1"/>
    <xf numFmtId="166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4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4" fontId="2" fillId="0" borderId="5" xfId="0" applyNumberFormat="1" applyFont="1" applyBorder="1"/>
    <xf numFmtId="0" fontId="5" fillId="0" borderId="0" xfId="0" applyFont="1" applyAlignment="1">
      <alignment horizontal="center" vertical="top"/>
    </xf>
    <xf numFmtId="2" fontId="2" fillId="0" borderId="3" xfId="0" applyNumberFormat="1" applyFont="1" applyBorder="1"/>
    <xf numFmtId="0" fontId="5" fillId="0" borderId="7" xfId="0" applyFont="1" applyBorder="1" applyAlignment="1">
      <alignment horizontal="center" vertical="top"/>
    </xf>
    <xf numFmtId="2" fontId="2" fillId="0" borderId="7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topLeftCell="A27" zoomScaleNormal="100" workbookViewId="0">
      <selection activeCell="G40" sqref="G40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2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34" t="s">
        <v>70</v>
      </c>
      <c r="B2" s="45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5"/>
      <c r="B3" s="43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5"/>
      <c r="B4" s="43"/>
      <c r="C4" s="6" t="s">
        <v>10</v>
      </c>
      <c r="D4" s="6" t="s">
        <v>26</v>
      </c>
      <c r="E4" s="10">
        <v>1000</v>
      </c>
      <c r="F4" s="6" t="s">
        <v>83</v>
      </c>
    </row>
    <row r="5" spans="1:7" x14ac:dyDescent="0.3">
      <c r="A5" s="35"/>
      <c r="B5" s="43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5"/>
      <c r="B6" s="43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5"/>
      <c r="B7" s="43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5"/>
      <c r="B8" s="46" t="s">
        <v>243</v>
      </c>
      <c r="C8" s="13" t="s">
        <v>84</v>
      </c>
      <c r="D8" s="13" t="s">
        <v>244</v>
      </c>
      <c r="E8" s="14">
        <f>0.36</f>
        <v>0.36</v>
      </c>
      <c r="F8" s="13" t="s">
        <v>252</v>
      </c>
    </row>
    <row r="9" spans="1:7" x14ac:dyDescent="0.3">
      <c r="A9" s="35"/>
      <c r="B9" s="43"/>
      <c r="C9" s="6" t="s">
        <v>85</v>
      </c>
      <c r="D9" s="6" t="s">
        <v>245</v>
      </c>
      <c r="E9" s="9">
        <v>285.39999999999998</v>
      </c>
      <c r="F9" s="6" t="s">
        <v>30</v>
      </c>
    </row>
    <row r="10" spans="1:7" x14ac:dyDescent="0.3">
      <c r="A10" s="35"/>
      <c r="B10" s="43"/>
      <c r="C10" s="6" t="s">
        <v>10</v>
      </c>
      <c r="D10" s="6" t="s">
        <v>246</v>
      </c>
      <c r="E10" s="9">
        <v>7700</v>
      </c>
      <c r="F10" s="9" t="s">
        <v>253</v>
      </c>
    </row>
    <row r="11" spans="1:7" x14ac:dyDescent="0.3">
      <c r="A11" s="35"/>
      <c r="B11" s="43"/>
      <c r="C11" s="6" t="s">
        <v>11</v>
      </c>
      <c r="D11" s="6" t="s">
        <v>247</v>
      </c>
      <c r="E11" s="11">
        <v>0.05</v>
      </c>
      <c r="F11" s="6" t="s">
        <v>64</v>
      </c>
    </row>
    <row r="12" spans="1:7" x14ac:dyDescent="0.3">
      <c r="A12" s="35"/>
      <c r="B12" s="43"/>
      <c r="C12" s="6" t="s">
        <v>86</v>
      </c>
      <c r="D12" s="6" t="s">
        <v>248</v>
      </c>
      <c r="E12" s="9">
        <v>0.46</v>
      </c>
      <c r="F12" s="6" t="s">
        <v>254</v>
      </c>
    </row>
    <row r="13" spans="1:7" x14ac:dyDescent="0.3">
      <c r="A13" s="35"/>
      <c r="B13" s="43"/>
      <c r="C13" s="6" t="s">
        <v>228</v>
      </c>
      <c r="D13" s="6" t="s">
        <v>249</v>
      </c>
      <c r="E13" s="9">
        <v>2.54</v>
      </c>
      <c r="F13" s="6" t="s">
        <v>255</v>
      </c>
    </row>
    <row r="14" spans="1:7" x14ac:dyDescent="0.3">
      <c r="A14" s="35"/>
      <c r="B14" s="43"/>
      <c r="C14" s="6" t="s">
        <v>13</v>
      </c>
      <c r="D14" s="6" t="s">
        <v>250</v>
      </c>
      <c r="E14" s="12">
        <v>20</v>
      </c>
      <c r="F14" s="6" t="s">
        <v>14</v>
      </c>
    </row>
    <row r="15" spans="1:7" ht="15" thickBot="1" x14ac:dyDescent="0.35">
      <c r="A15" s="35"/>
      <c r="B15" s="47"/>
      <c r="C15" s="15" t="s">
        <v>15</v>
      </c>
      <c r="D15" s="15" t="s">
        <v>251</v>
      </c>
      <c r="E15" s="16">
        <v>0.06</v>
      </c>
      <c r="F15" s="15" t="s">
        <v>22</v>
      </c>
    </row>
    <row r="16" spans="1:7" x14ac:dyDescent="0.3">
      <c r="A16" s="34" t="s">
        <v>71</v>
      </c>
      <c r="B16" s="38" t="s">
        <v>3</v>
      </c>
      <c r="C16" s="7" t="s">
        <v>87</v>
      </c>
      <c r="D16" s="7" t="s">
        <v>33</v>
      </c>
      <c r="E16" s="18">
        <v>490</v>
      </c>
      <c r="F16" s="7" t="s">
        <v>82</v>
      </c>
    </row>
    <row r="17" spans="1:6" x14ac:dyDescent="0.3">
      <c r="A17" s="35"/>
      <c r="B17" s="39"/>
      <c r="C17" s="6" t="s">
        <v>11</v>
      </c>
      <c r="D17" s="6" t="s">
        <v>40</v>
      </c>
      <c r="E17" s="11">
        <v>0.01</v>
      </c>
      <c r="F17" s="6" t="s">
        <v>64</v>
      </c>
    </row>
    <row r="18" spans="1:6" x14ac:dyDescent="0.3">
      <c r="A18" s="35"/>
      <c r="B18" s="39"/>
      <c r="C18" s="6" t="s">
        <v>13</v>
      </c>
      <c r="D18" s="6" t="s">
        <v>32</v>
      </c>
      <c r="E18" s="12">
        <v>20</v>
      </c>
      <c r="F18" s="6" t="s">
        <v>14</v>
      </c>
    </row>
    <row r="19" spans="1:6" x14ac:dyDescent="0.3">
      <c r="A19" s="35"/>
      <c r="B19" s="39"/>
      <c r="C19" s="6" t="s">
        <v>20</v>
      </c>
      <c r="D19" s="6" t="s">
        <v>34</v>
      </c>
      <c r="E19" s="23">
        <v>1.0000000000000001E-5</v>
      </c>
      <c r="F19" s="6" t="s">
        <v>93</v>
      </c>
    </row>
    <row r="20" spans="1:6" x14ac:dyDescent="0.3">
      <c r="A20" s="35"/>
      <c r="B20" s="39"/>
      <c r="C20" s="6" t="s">
        <v>35</v>
      </c>
      <c r="D20" s="6" t="s">
        <v>37</v>
      </c>
      <c r="E20" s="11">
        <v>0.83299999999999996</v>
      </c>
      <c r="F20" s="6" t="s">
        <v>22</v>
      </c>
    </row>
    <row r="21" spans="1:6" x14ac:dyDescent="0.3">
      <c r="A21" s="35"/>
      <c r="B21" s="39"/>
      <c r="C21" s="6" t="s">
        <v>36</v>
      </c>
      <c r="D21" s="6" t="s">
        <v>38</v>
      </c>
      <c r="E21" s="11">
        <v>0.83299999999999996</v>
      </c>
      <c r="F21" s="6" t="s">
        <v>22</v>
      </c>
    </row>
    <row r="22" spans="1:6" x14ac:dyDescent="0.3">
      <c r="A22" s="35"/>
      <c r="B22" s="39"/>
      <c r="C22" s="6" t="s">
        <v>15</v>
      </c>
      <c r="D22" s="6" t="s">
        <v>31</v>
      </c>
      <c r="E22" s="11">
        <v>0.05</v>
      </c>
      <c r="F22" s="6" t="s">
        <v>22</v>
      </c>
    </row>
    <row r="23" spans="1:6" x14ac:dyDescent="0.3">
      <c r="A23" s="35"/>
      <c r="B23" s="40"/>
      <c r="C23" s="15" t="s">
        <v>88</v>
      </c>
      <c r="D23" s="15" t="s">
        <v>39</v>
      </c>
      <c r="E23" s="16">
        <v>0</v>
      </c>
      <c r="F23" s="15" t="s">
        <v>94</v>
      </c>
    </row>
    <row r="24" spans="1:6" x14ac:dyDescent="0.3">
      <c r="A24" s="35"/>
      <c r="B24" s="41" t="s">
        <v>200</v>
      </c>
      <c r="C24" s="13" t="s">
        <v>91</v>
      </c>
      <c r="D24" s="13" t="s">
        <v>62</v>
      </c>
      <c r="E24" s="17">
        <v>1.6999999999999999E-3</v>
      </c>
      <c r="F24" s="13" t="s">
        <v>95</v>
      </c>
    </row>
    <row r="25" spans="1:6" x14ac:dyDescent="0.3">
      <c r="A25" s="35"/>
      <c r="B25" s="43"/>
      <c r="C25" s="6" t="s">
        <v>21</v>
      </c>
      <c r="D25" s="6" t="s">
        <v>55</v>
      </c>
      <c r="E25" s="9">
        <f>E26*4</f>
        <v>424</v>
      </c>
      <c r="F25" s="6" t="s">
        <v>12</v>
      </c>
    </row>
    <row r="26" spans="1:6" x14ac:dyDescent="0.3">
      <c r="A26" s="35"/>
      <c r="B26" s="43"/>
      <c r="C26" s="6" t="s">
        <v>16</v>
      </c>
      <c r="D26" s="6" t="s">
        <v>56</v>
      </c>
      <c r="E26" s="9">
        <v>106</v>
      </c>
      <c r="F26" s="6" t="s">
        <v>19</v>
      </c>
    </row>
    <row r="27" spans="1:6" x14ac:dyDescent="0.3">
      <c r="A27" s="35"/>
      <c r="B27" s="43"/>
      <c r="C27" s="6" t="s">
        <v>17</v>
      </c>
      <c r="D27" s="6" t="s">
        <v>57</v>
      </c>
      <c r="E27" s="11">
        <v>2.5000000000000001E-2</v>
      </c>
      <c r="F27" s="6" t="s">
        <v>64</v>
      </c>
    </row>
    <row r="28" spans="1:6" x14ac:dyDescent="0.3">
      <c r="A28" s="35"/>
      <c r="B28" s="43"/>
      <c r="C28" s="6" t="s">
        <v>35</v>
      </c>
      <c r="D28" s="6" t="s">
        <v>59</v>
      </c>
      <c r="E28" s="11">
        <v>0.93500000000000005</v>
      </c>
      <c r="F28" s="6" t="s">
        <v>22</v>
      </c>
    </row>
    <row r="29" spans="1:6" x14ac:dyDescent="0.3">
      <c r="A29" s="35"/>
      <c r="B29" s="43"/>
      <c r="C29" s="6" t="s">
        <v>36</v>
      </c>
      <c r="D29" s="6" t="s">
        <v>60</v>
      </c>
      <c r="E29" s="11">
        <v>0.93500000000000005</v>
      </c>
      <c r="F29" s="6" t="s">
        <v>22</v>
      </c>
    </row>
    <row r="30" spans="1:6" x14ac:dyDescent="0.3">
      <c r="A30" s="35"/>
      <c r="B30" s="43"/>
      <c r="C30" s="6" t="s">
        <v>89</v>
      </c>
      <c r="D30" s="6" t="s">
        <v>58</v>
      </c>
      <c r="E30" s="9">
        <v>0.25</v>
      </c>
      <c r="F30" s="6" t="s">
        <v>90</v>
      </c>
    </row>
    <row r="31" spans="1:6" x14ac:dyDescent="0.3">
      <c r="A31" s="35"/>
      <c r="B31" s="43"/>
      <c r="C31" s="6" t="s">
        <v>88</v>
      </c>
      <c r="D31" s="6" t="s">
        <v>61</v>
      </c>
      <c r="E31" s="11">
        <v>0</v>
      </c>
      <c r="F31" s="6" t="s">
        <v>94</v>
      </c>
    </row>
    <row r="32" spans="1:6" x14ac:dyDescent="0.3">
      <c r="A32" s="35"/>
      <c r="B32" s="43"/>
      <c r="C32" s="6" t="s">
        <v>13</v>
      </c>
      <c r="D32" s="6" t="s">
        <v>54</v>
      </c>
      <c r="E32" s="12">
        <v>15</v>
      </c>
      <c r="F32" s="6" t="s">
        <v>14</v>
      </c>
    </row>
    <row r="33" spans="1:6" ht="15" thickBot="1" x14ac:dyDescent="0.35">
      <c r="A33" s="36"/>
      <c r="B33" s="44"/>
      <c r="C33" s="19" t="s">
        <v>15</v>
      </c>
      <c r="D33" s="19" t="s">
        <v>53</v>
      </c>
      <c r="E33" s="20">
        <v>0.1</v>
      </c>
      <c r="F33" s="19" t="s">
        <v>22</v>
      </c>
    </row>
    <row r="34" spans="1:6" x14ac:dyDescent="0.3">
      <c r="A34" s="34" t="s">
        <v>72</v>
      </c>
      <c r="B34" s="32" t="s">
        <v>73</v>
      </c>
      <c r="C34" s="25" t="s">
        <v>74</v>
      </c>
      <c r="D34" s="25" t="s">
        <v>75</v>
      </c>
      <c r="E34" s="33">
        <v>9.2999999999999999E-2</v>
      </c>
      <c r="F34" s="25" t="s">
        <v>19</v>
      </c>
    </row>
    <row r="35" spans="1:6" x14ac:dyDescent="0.3">
      <c r="A35" s="37"/>
      <c r="B35" s="30" t="s">
        <v>279</v>
      </c>
      <c r="C35" s="6" t="s">
        <v>280</v>
      </c>
      <c r="D35" s="6" t="s">
        <v>281</v>
      </c>
      <c r="E35" s="11">
        <v>0</v>
      </c>
      <c r="F35" s="6" t="s">
        <v>211</v>
      </c>
    </row>
    <row r="36" spans="1:6" x14ac:dyDescent="0.3">
      <c r="A36" s="35"/>
      <c r="B36" s="41" t="s">
        <v>4</v>
      </c>
      <c r="C36" s="13" t="s">
        <v>8</v>
      </c>
      <c r="D36" s="13" t="s">
        <v>46</v>
      </c>
      <c r="E36" s="17">
        <v>0.99</v>
      </c>
      <c r="F36" s="13" t="s">
        <v>9</v>
      </c>
    </row>
    <row r="37" spans="1:6" x14ac:dyDescent="0.3">
      <c r="A37" s="35"/>
      <c r="B37" s="39"/>
      <c r="C37" s="6" t="s">
        <v>10</v>
      </c>
      <c r="D37" s="6" t="s">
        <v>43</v>
      </c>
      <c r="E37" s="1">
        <v>1100</v>
      </c>
      <c r="F37" s="6" t="s">
        <v>12</v>
      </c>
    </row>
    <row r="38" spans="1:6" x14ac:dyDescent="0.3">
      <c r="A38" s="35"/>
      <c r="B38" s="39"/>
      <c r="C38" s="6" t="s">
        <v>17</v>
      </c>
      <c r="D38" s="6" t="s">
        <v>44</v>
      </c>
      <c r="E38" s="1">
        <v>17.84</v>
      </c>
      <c r="F38" s="6" t="s">
        <v>92</v>
      </c>
    </row>
    <row r="39" spans="1:6" x14ac:dyDescent="0.3">
      <c r="A39" s="35"/>
      <c r="B39" s="39"/>
      <c r="C39" s="6" t="s">
        <v>18</v>
      </c>
      <c r="D39" s="6" t="s">
        <v>45</v>
      </c>
      <c r="E39" s="9">
        <v>0</v>
      </c>
      <c r="F39" s="6" t="s">
        <v>19</v>
      </c>
    </row>
    <row r="40" spans="1:6" x14ac:dyDescent="0.3">
      <c r="A40" s="35"/>
      <c r="B40" s="39"/>
      <c r="C40" s="6" t="s">
        <v>13</v>
      </c>
      <c r="D40" s="6" t="s">
        <v>42</v>
      </c>
      <c r="E40" s="12">
        <v>25</v>
      </c>
      <c r="F40" s="6" t="s">
        <v>14</v>
      </c>
    </row>
    <row r="41" spans="1:6" x14ac:dyDescent="0.3">
      <c r="A41" s="35"/>
      <c r="B41" s="39"/>
      <c r="C41" s="6" t="s">
        <v>68</v>
      </c>
      <c r="D41" s="6" t="s">
        <v>67</v>
      </c>
      <c r="E41" s="9">
        <v>1000000</v>
      </c>
      <c r="F41" s="6" t="s">
        <v>66</v>
      </c>
    </row>
    <row r="42" spans="1:6" x14ac:dyDescent="0.3">
      <c r="A42" s="35"/>
      <c r="B42" s="40"/>
      <c r="C42" s="15" t="s">
        <v>15</v>
      </c>
      <c r="D42" s="15" t="s">
        <v>41</v>
      </c>
      <c r="E42" s="16">
        <v>5.2999999999999999E-2</v>
      </c>
      <c r="F42" s="15" t="s">
        <v>22</v>
      </c>
    </row>
    <row r="43" spans="1:6" x14ac:dyDescent="0.3">
      <c r="A43" s="35"/>
      <c r="B43" s="41" t="s">
        <v>5</v>
      </c>
      <c r="C43" s="13" t="s">
        <v>8</v>
      </c>
      <c r="D43" s="13" t="s">
        <v>47</v>
      </c>
      <c r="E43" s="17">
        <v>0.997</v>
      </c>
      <c r="F43" s="13" t="s">
        <v>22</v>
      </c>
    </row>
    <row r="44" spans="1:6" x14ac:dyDescent="0.3">
      <c r="A44" s="35"/>
      <c r="B44" s="39"/>
      <c r="C44" s="6" t="s">
        <v>10</v>
      </c>
      <c r="D44" s="6" t="s">
        <v>48</v>
      </c>
      <c r="E44" s="1">
        <v>1080</v>
      </c>
      <c r="F44" s="6" t="s">
        <v>12</v>
      </c>
    </row>
    <row r="45" spans="1:6" x14ac:dyDescent="0.3">
      <c r="A45" s="35"/>
      <c r="B45" s="39"/>
      <c r="C45" s="6" t="s">
        <v>17</v>
      </c>
      <c r="D45" s="6" t="s">
        <v>52</v>
      </c>
      <c r="E45" s="1">
        <v>12.68</v>
      </c>
      <c r="F45" s="6" t="s">
        <v>92</v>
      </c>
    </row>
    <row r="46" spans="1:6" x14ac:dyDescent="0.3">
      <c r="A46" s="35"/>
      <c r="B46" s="39"/>
      <c r="C46" s="6" t="s">
        <v>18</v>
      </c>
      <c r="D46" s="6" t="s">
        <v>49</v>
      </c>
      <c r="E46" s="2">
        <v>5.0000000000000001E-3</v>
      </c>
      <c r="F46" s="6" t="s">
        <v>19</v>
      </c>
    </row>
    <row r="47" spans="1:6" x14ac:dyDescent="0.3">
      <c r="A47" s="35"/>
      <c r="B47" s="39"/>
      <c r="C47" s="6" t="s">
        <v>13</v>
      </c>
      <c r="D47" s="6" t="s">
        <v>50</v>
      </c>
      <c r="E47" s="12">
        <v>25</v>
      </c>
      <c r="F47" s="6" t="s">
        <v>14</v>
      </c>
    </row>
    <row r="48" spans="1:6" x14ac:dyDescent="0.3">
      <c r="A48" s="35"/>
      <c r="B48" s="39"/>
      <c r="C48" s="6" t="s">
        <v>68</v>
      </c>
      <c r="D48" s="6" t="s">
        <v>65</v>
      </c>
      <c r="E48" s="21">
        <v>1000000</v>
      </c>
      <c r="F48" s="6" t="s">
        <v>66</v>
      </c>
    </row>
    <row r="49" spans="1:6" x14ac:dyDescent="0.3">
      <c r="A49" s="36"/>
      <c r="B49" s="42"/>
      <c r="C49" s="19" t="s">
        <v>15</v>
      </c>
      <c r="D49" s="19" t="s">
        <v>51</v>
      </c>
      <c r="E49" s="20">
        <v>5.8000000000000003E-2</v>
      </c>
      <c r="F49" s="19" t="s">
        <v>22</v>
      </c>
    </row>
    <row r="50" spans="1:6" x14ac:dyDescent="0.3">
      <c r="A50" s="34" t="s">
        <v>76</v>
      </c>
      <c r="B50" s="24" t="s">
        <v>73</v>
      </c>
      <c r="C50" s="25" t="s">
        <v>77</v>
      </c>
      <c r="D50" s="25" t="s">
        <v>78</v>
      </c>
      <c r="E50" s="26">
        <v>0</v>
      </c>
      <c r="F50" s="25" t="s">
        <v>19</v>
      </c>
    </row>
    <row r="51" spans="1:6" x14ac:dyDescent="0.3">
      <c r="A51" s="35"/>
      <c r="B51" s="27" t="s">
        <v>79</v>
      </c>
      <c r="C51" s="28" t="s">
        <v>80</v>
      </c>
      <c r="D51" s="28" t="s">
        <v>81</v>
      </c>
      <c r="E51" s="29">
        <v>-1.5</v>
      </c>
      <c r="F51" s="28" t="s">
        <v>82</v>
      </c>
    </row>
    <row r="52" spans="1:6" x14ac:dyDescent="0.3">
      <c r="A52" s="36"/>
      <c r="B52" s="4" t="s">
        <v>276</v>
      </c>
      <c r="C52" s="19" t="s">
        <v>277</v>
      </c>
      <c r="D52" s="19" t="s">
        <v>278</v>
      </c>
      <c r="E52" s="20">
        <v>-1.7</v>
      </c>
      <c r="F52" s="19" t="s">
        <v>253</v>
      </c>
    </row>
  </sheetData>
  <mergeCells count="10">
    <mergeCell ref="A2:A15"/>
    <mergeCell ref="A16:A33"/>
    <mergeCell ref="A34:A49"/>
    <mergeCell ref="A50:A52"/>
    <mergeCell ref="B16:B23"/>
    <mergeCell ref="B36:B42"/>
    <mergeCell ref="B43:B49"/>
    <mergeCell ref="B24:B33"/>
    <mergeCell ref="B2:B7"/>
    <mergeCell ref="B8:B1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06"/>
  <sheetViews>
    <sheetView topLeftCell="A75" zoomScaleNormal="100" workbookViewId="0">
      <selection activeCell="D109" sqref="D109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4" t="s">
        <v>70</v>
      </c>
      <c r="B2" s="45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5"/>
      <c r="B3" s="43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5"/>
      <c r="B4" s="43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5"/>
      <c r="B5" s="43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5"/>
      <c r="B6" s="43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5"/>
      <c r="B7" s="43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5"/>
      <c r="B8" s="43"/>
      <c r="C8" s="6" t="s">
        <v>195</v>
      </c>
      <c r="D8" s="6" t="s">
        <v>194</v>
      </c>
      <c r="E8" s="12"/>
      <c r="F8" s="6" t="s">
        <v>149</v>
      </c>
    </row>
    <row r="9" spans="1:6" x14ac:dyDescent="0.3">
      <c r="A9" s="35"/>
      <c r="B9" s="43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5"/>
      <c r="B10" s="43"/>
      <c r="C10" s="6" t="s">
        <v>187</v>
      </c>
      <c r="D10" s="6" t="s">
        <v>193</v>
      </c>
      <c r="E10" s="12"/>
      <c r="F10" s="6" t="s">
        <v>149</v>
      </c>
    </row>
    <row r="11" spans="1:6" x14ac:dyDescent="0.3">
      <c r="A11" s="35"/>
      <c r="B11" s="43"/>
      <c r="E11" s="11"/>
    </row>
    <row r="12" spans="1:6" x14ac:dyDescent="0.3">
      <c r="A12" s="35"/>
      <c r="B12" s="46" t="s">
        <v>243</v>
      </c>
      <c r="C12" s="13" t="s">
        <v>96</v>
      </c>
      <c r="D12" s="13" t="s">
        <v>256</v>
      </c>
      <c r="E12" s="14"/>
      <c r="F12" s="13" t="s">
        <v>104</v>
      </c>
    </row>
    <row r="13" spans="1:6" x14ac:dyDescent="0.3">
      <c r="A13" s="35"/>
      <c r="B13" s="43"/>
      <c r="C13" s="6" t="s">
        <v>229</v>
      </c>
      <c r="D13" s="6" t="s">
        <v>266</v>
      </c>
      <c r="E13" s="9"/>
      <c r="F13" s="6" t="s">
        <v>267</v>
      </c>
    </row>
    <row r="14" spans="1:6" x14ac:dyDescent="0.3">
      <c r="A14" s="35"/>
      <c r="B14" s="43"/>
      <c r="C14" s="6" t="s">
        <v>139</v>
      </c>
      <c r="D14" s="6" t="s">
        <v>257</v>
      </c>
      <c r="E14" s="9"/>
      <c r="F14" s="9" t="s">
        <v>132</v>
      </c>
    </row>
    <row r="15" spans="1:6" x14ac:dyDescent="0.3">
      <c r="A15" s="35"/>
      <c r="B15" s="43"/>
      <c r="C15" s="6" t="s">
        <v>230</v>
      </c>
      <c r="D15" s="6" t="s">
        <v>258</v>
      </c>
      <c r="E15" s="11"/>
      <c r="F15" s="6" t="s">
        <v>231</v>
      </c>
    </row>
    <row r="16" spans="1:6" x14ac:dyDescent="0.3">
      <c r="A16" s="35"/>
      <c r="B16" s="43"/>
      <c r="C16" s="6" t="s">
        <v>84</v>
      </c>
      <c r="D16" s="6" t="s">
        <v>259</v>
      </c>
      <c r="E16" s="9"/>
      <c r="F16" s="6" t="s">
        <v>118</v>
      </c>
    </row>
    <row r="17" spans="1:6" x14ac:dyDescent="0.3">
      <c r="A17" s="35"/>
      <c r="B17" s="43"/>
      <c r="C17" s="6" t="s">
        <v>141</v>
      </c>
      <c r="D17" s="6" t="s">
        <v>260</v>
      </c>
      <c r="E17" s="9"/>
      <c r="F17" s="6" t="s">
        <v>140</v>
      </c>
    </row>
    <row r="18" spans="1:6" x14ac:dyDescent="0.3">
      <c r="A18" s="35"/>
      <c r="B18" s="43"/>
      <c r="C18" s="6" t="s">
        <v>155</v>
      </c>
      <c r="D18" s="6" t="s">
        <v>261</v>
      </c>
      <c r="E18" s="12"/>
      <c r="F18" s="6" t="s">
        <v>149</v>
      </c>
    </row>
    <row r="19" spans="1:6" x14ac:dyDescent="0.3">
      <c r="A19" s="35"/>
      <c r="B19" s="43"/>
      <c r="C19" s="6" t="s">
        <v>195</v>
      </c>
      <c r="D19" s="6" t="s">
        <v>262</v>
      </c>
      <c r="E19" s="12"/>
      <c r="F19" s="6" t="s">
        <v>149</v>
      </c>
    </row>
    <row r="20" spans="1:6" x14ac:dyDescent="0.3">
      <c r="A20" s="35"/>
      <c r="B20" s="43"/>
      <c r="C20" s="6" t="s">
        <v>167</v>
      </c>
      <c r="D20" s="6" t="s">
        <v>263</v>
      </c>
      <c r="E20" s="12"/>
      <c r="F20" s="6" t="s">
        <v>140</v>
      </c>
    </row>
    <row r="21" spans="1:6" x14ac:dyDescent="0.3">
      <c r="A21" s="35"/>
      <c r="B21" s="43"/>
      <c r="C21" s="6" t="s">
        <v>187</v>
      </c>
      <c r="D21" s="6" t="s">
        <v>264</v>
      </c>
      <c r="E21" s="12"/>
      <c r="F21" s="6" t="s">
        <v>149</v>
      </c>
    </row>
    <row r="22" spans="1:6" ht="15" thickBot="1" x14ac:dyDescent="0.35">
      <c r="A22" s="35"/>
      <c r="B22" s="47"/>
      <c r="C22" s="15"/>
      <c r="D22" s="15"/>
      <c r="E22" s="16"/>
      <c r="F22" s="15"/>
    </row>
    <row r="23" spans="1:6" ht="14.4" customHeight="1" x14ac:dyDescent="0.3">
      <c r="A23" s="34" t="s">
        <v>71</v>
      </c>
      <c r="B23" s="38" t="s">
        <v>3</v>
      </c>
      <c r="C23" s="7" t="s">
        <v>113</v>
      </c>
      <c r="D23" s="7" t="s">
        <v>103</v>
      </c>
      <c r="E23" s="18"/>
      <c r="F23" s="7" t="s">
        <v>241</v>
      </c>
    </row>
    <row r="24" spans="1:6" x14ac:dyDescent="0.3">
      <c r="A24" s="35"/>
      <c r="B24" s="39"/>
      <c r="C24" s="6" t="s">
        <v>111</v>
      </c>
      <c r="D24" s="6" t="s">
        <v>110</v>
      </c>
      <c r="E24" s="11"/>
      <c r="F24" s="6" t="s">
        <v>242</v>
      </c>
    </row>
    <row r="25" spans="1:6" x14ac:dyDescent="0.3">
      <c r="A25" s="35"/>
      <c r="B25" s="39"/>
      <c r="C25" s="6" t="s">
        <v>135</v>
      </c>
      <c r="D25" s="6" t="s">
        <v>133</v>
      </c>
      <c r="E25" s="12"/>
      <c r="F25" s="6" t="s">
        <v>132</v>
      </c>
    </row>
    <row r="26" spans="1:6" x14ac:dyDescent="0.3">
      <c r="A26" s="35"/>
      <c r="B26" s="39"/>
      <c r="C26" s="6" t="s">
        <v>136</v>
      </c>
      <c r="D26" s="6" t="s">
        <v>134</v>
      </c>
      <c r="E26" s="11"/>
      <c r="F26" s="6" t="s">
        <v>132</v>
      </c>
    </row>
    <row r="27" spans="1:6" x14ac:dyDescent="0.3">
      <c r="A27" s="35"/>
      <c r="B27" s="39"/>
      <c r="C27" s="6" t="s">
        <v>141</v>
      </c>
      <c r="D27" s="6" t="s">
        <v>146</v>
      </c>
      <c r="E27" s="11"/>
      <c r="F27" s="6" t="s">
        <v>140</v>
      </c>
    </row>
    <row r="28" spans="1:6" x14ac:dyDescent="0.3">
      <c r="A28" s="35"/>
      <c r="B28" s="39"/>
      <c r="C28" s="6" t="s">
        <v>155</v>
      </c>
      <c r="D28" s="6" t="s">
        <v>159</v>
      </c>
      <c r="E28" s="11"/>
      <c r="F28" s="6" t="s">
        <v>149</v>
      </c>
    </row>
    <row r="29" spans="1:6" x14ac:dyDescent="0.3">
      <c r="A29" s="35"/>
      <c r="B29" s="39"/>
      <c r="C29" s="6" t="s">
        <v>195</v>
      </c>
      <c r="D29" s="6" t="s">
        <v>198</v>
      </c>
      <c r="E29" s="11"/>
      <c r="F29" s="6" t="s">
        <v>149</v>
      </c>
    </row>
    <row r="30" spans="1:6" x14ac:dyDescent="0.3">
      <c r="A30" s="35"/>
      <c r="B30" s="39"/>
      <c r="C30" s="6" t="s">
        <v>167</v>
      </c>
      <c r="D30" s="6" t="s">
        <v>171</v>
      </c>
      <c r="E30" s="11"/>
      <c r="F30" s="6" t="s">
        <v>140</v>
      </c>
    </row>
    <row r="31" spans="1:6" x14ac:dyDescent="0.3">
      <c r="A31" s="35"/>
      <c r="B31" s="39"/>
      <c r="C31" s="6" t="s">
        <v>187</v>
      </c>
      <c r="D31" s="6" t="s">
        <v>192</v>
      </c>
      <c r="E31" s="11"/>
      <c r="F31" s="6" t="s">
        <v>149</v>
      </c>
    </row>
    <row r="32" spans="1:6" x14ac:dyDescent="0.3">
      <c r="A32" s="35"/>
      <c r="B32" s="40"/>
      <c r="C32" s="15"/>
      <c r="D32" s="15"/>
      <c r="E32" s="16"/>
      <c r="F32" s="15"/>
    </row>
    <row r="33" spans="1:6" x14ac:dyDescent="0.3">
      <c r="A33" s="35"/>
      <c r="B33" s="41" t="s">
        <v>6</v>
      </c>
      <c r="C33" s="13" t="s">
        <v>96</v>
      </c>
      <c r="D33" s="13" t="s">
        <v>100</v>
      </c>
      <c r="E33" s="17"/>
      <c r="F33" s="13" t="s">
        <v>98</v>
      </c>
    </row>
    <row r="34" spans="1:6" x14ac:dyDescent="0.3">
      <c r="A34" s="35"/>
      <c r="B34" s="39"/>
      <c r="C34" s="6" t="s">
        <v>113</v>
      </c>
      <c r="D34" s="6" t="s">
        <v>102</v>
      </c>
      <c r="E34" s="11"/>
      <c r="F34" s="6" t="s">
        <v>105</v>
      </c>
    </row>
    <row r="35" spans="1:6" x14ac:dyDescent="0.3">
      <c r="A35" s="35"/>
      <c r="B35" s="43"/>
      <c r="C35" s="6" t="s">
        <v>111</v>
      </c>
      <c r="D35" s="6" t="s">
        <v>112</v>
      </c>
      <c r="E35" s="9"/>
      <c r="F35" s="6" t="s">
        <v>114</v>
      </c>
    </row>
    <row r="36" spans="1:6" x14ac:dyDescent="0.3">
      <c r="A36" s="35"/>
      <c r="B36" s="43"/>
      <c r="C36" s="6" t="s">
        <v>107</v>
      </c>
      <c r="D36" s="6" t="s">
        <v>185</v>
      </c>
      <c r="E36" s="9"/>
      <c r="F36" s="6" t="s">
        <v>66</v>
      </c>
    </row>
    <row r="37" spans="1:6" x14ac:dyDescent="0.3">
      <c r="A37" s="35"/>
      <c r="B37" s="43"/>
      <c r="C37" s="6" t="s">
        <v>126</v>
      </c>
      <c r="D37" s="6" t="s">
        <v>124</v>
      </c>
      <c r="E37" s="9"/>
      <c r="F37" s="6" t="s">
        <v>118</v>
      </c>
    </row>
    <row r="38" spans="1:6" x14ac:dyDescent="0.3">
      <c r="A38" s="35"/>
      <c r="B38" s="43"/>
      <c r="C38" s="6" t="s">
        <v>127</v>
      </c>
      <c r="D38" s="6" t="s">
        <v>125</v>
      </c>
      <c r="E38" s="11"/>
      <c r="F38" s="6" t="s">
        <v>118</v>
      </c>
    </row>
    <row r="39" spans="1:6" x14ac:dyDescent="0.3">
      <c r="A39" s="35"/>
      <c r="B39" s="43"/>
      <c r="C39" s="6" t="s">
        <v>141</v>
      </c>
      <c r="D39" s="6" t="s">
        <v>145</v>
      </c>
      <c r="E39" s="9"/>
      <c r="F39" s="6" t="s">
        <v>140</v>
      </c>
    </row>
    <row r="40" spans="1:6" x14ac:dyDescent="0.3">
      <c r="A40" s="35"/>
      <c r="B40" s="43"/>
      <c r="C40" s="6" t="s">
        <v>155</v>
      </c>
      <c r="D40" s="6" t="s">
        <v>157</v>
      </c>
      <c r="E40" s="11"/>
      <c r="F40" s="6" t="s">
        <v>149</v>
      </c>
    </row>
    <row r="41" spans="1:6" x14ac:dyDescent="0.3">
      <c r="A41" s="35"/>
      <c r="B41" s="43"/>
      <c r="C41" s="6" t="s">
        <v>195</v>
      </c>
      <c r="D41" s="6" t="s">
        <v>199</v>
      </c>
      <c r="E41" s="11"/>
      <c r="F41" s="6" t="s">
        <v>149</v>
      </c>
    </row>
    <row r="42" spans="1:6" x14ac:dyDescent="0.3">
      <c r="A42" s="35"/>
      <c r="B42" s="43"/>
      <c r="C42" s="6" t="s">
        <v>167</v>
      </c>
      <c r="D42" s="6" t="s">
        <v>170</v>
      </c>
      <c r="E42" s="11"/>
      <c r="F42" s="6" t="s">
        <v>140</v>
      </c>
    </row>
    <row r="43" spans="1:6" x14ac:dyDescent="0.3">
      <c r="A43" s="35"/>
      <c r="B43" s="43"/>
      <c r="C43" s="6" t="s">
        <v>187</v>
      </c>
      <c r="D43" s="6" t="s">
        <v>191</v>
      </c>
      <c r="E43" s="11"/>
      <c r="F43" s="6" t="s">
        <v>149</v>
      </c>
    </row>
    <row r="44" spans="1:6" ht="15" thickBot="1" x14ac:dyDescent="0.35">
      <c r="A44" s="36"/>
      <c r="B44" s="44"/>
      <c r="C44" s="19"/>
      <c r="D44" s="19"/>
      <c r="E44" s="20"/>
      <c r="F44" s="19"/>
    </row>
    <row r="45" spans="1:6" x14ac:dyDescent="0.3">
      <c r="A45" s="34" t="s">
        <v>72</v>
      </c>
      <c r="B45" s="45" t="s">
        <v>73</v>
      </c>
      <c r="C45" s="7" t="s">
        <v>117</v>
      </c>
      <c r="D45" s="7" t="s">
        <v>116</v>
      </c>
      <c r="E45" s="18"/>
      <c r="F45" s="7" t="s">
        <v>118</v>
      </c>
    </row>
    <row r="46" spans="1:6" x14ac:dyDescent="0.3">
      <c r="A46" s="35"/>
      <c r="B46" s="43"/>
      <c r="C46" s="6" t="s">
        <v>153</v>
      </c>
      <c r="D46" s="6" t="s">
        <v>152</v>
      </c>
      <c r="E46" s="9"/>
      <c r="F46" s="6" t="s">
        <v>149</v>
      </c>
    </row>
    <row r="47" spans="1:6" x14ac:dyDescent="0.3">
      <c r="A47" s="35"/>
      <c r="B47" s="47"/>
      <c r="C47" s="15"/>
      <c r="D47" s="15"/>
      <c r="E47" s="31"/>
      <c r="F47" s="15"/>
    </row>
    <row r="48" spans="1:6" x14ac:dyDescent="0.3">
      <c r="A48" s="35"/>
      <c r="B48" s="43" t="s">
        <v>279</v>
      </c>
      <c r="C48" s="6" t="s">
        <v>282</v>
      </c>
      <c r="D48" s="6" t="s">
        <v>283</v>
      </c>
      <c r="E48" s="9"/>
      <c r="F48" s="6" t="s">
        <v>267</v>
      </c>
    </row>
    <row r="49" spans="1:6" x14ac:dyDescent="0.3">
      <c r="A49" s="35"/>
      <c r="B49" s="43"/>
      <c r="C49" s="6" t="s">
        <v>284</v>
      </c>
      <c r="D49" s="6" t="s">
        <v>285</v>
      </c>
      <c r="E49" s="9"/>
      <c r="F49" s="6" t="s">
        <v>149</v>
      </c>
    </row>
    <row r="50" spans="1:6" x14ac:dyDescent="0.3">
      <c r="A50" s="35"/>
      <c r="B50" s="43"/>
      <c r="E50" s="9"/>
    </row>
    <row r="51" spans="1:6" x14ac:dyDescent="0.3">
      <c r="A51" s="35"/>
      <c r="B51" s="41" t="s">
        <v>4</v>
      </c>
      <c r="C51" s="13" t="s">
        <v>96</v>
      </c>
      <c r="D51" s="13" t="s">
        <v>99</v>
      </c>
      <c r="E51" s="17"/>
      <c r="F51" s="13" t="s">
        <v>98</v>
      </c>
    </row>
    <row r="52" spans="1:6" x14ac:dyDescent="0.3">
      <c r="A52" s="35"/>
      <c r="B52" s="39"/>
      <c r="C52" s="6" t="s">
        <v>107</v>
      </c>
      <c r="D52" s="6" t="s">
        <v>109</v>
      </c>
      <c r="E52" s="1"/>
      <c r="F52" s="6" t="s">
        <v>66</v>
      </c>
    </row>
    <row r="53" spans="1:6" x14ac:dyDescent="0.3">
      <c r="A53" s="35"/>
      <c r="B53" s="39"/>
      <c r="C53" s="6" t="s">
        <v>122</v>
      </c>
      <c r="D53" s="6" t="s">
        <v>121</v>
      </c>
      <c r="E53" s="1"/>
      <c r="F53" s="6" t="s">
        <v>118</v>
      </c>
    </row>
    <row r="54" spans="1:6" x14ac:dyDescent="0.3">
      <c r="A54" s="35"/>
      <c r="B54" s="39"/>
      <c r="C54" s="6" t="s">
        <v>141</v>
      </c>
      <c r="D54" s="6" t="s">
        <v>144</v>
      </c>
      <c r="E54" s="9"/>
      <c r="F54" s="6" t="s">
        <v>140</v>
      </c>
    </row>
    <row r="55" spans="1:6" x14ac:dyDescent="0.3">
      <c r="A55" s="35"/>
      <c r="B55" s="39"/>
      <c r="C55" s="6" t="s">
        <v>155</v>
      </c>
      <c r="D55" s="6" t="s">
        <v>156</v>
      </c>
      <c r="E55" s="12"/>
      <c r="F55" s="6" t="s">
        <v>149</v>
      </c>
    </row>
    <row r="56" spans="1:6" x14ac:dyDescent="0.3">
      <c r="A56" s="35"/>
      <c r="B56" s="39"/>
      <c r="C56" s="6" t="s">
        <v>161</v>
      </c>
      <c r="D56" s="6" t="s">
        <v>162</v>
      </c>
      <c r="E56" s="9"/>
      <c r="F56" s="6" t="s">
        <v>149</v>
      </c>
    </row>
    <row r="57" spans="1:6" x14ac:dyDescent="0.3">
      <c r="A57" s="35"/>
      <c r="B57" s="39"/>
      <c r="C57" s="6" t="s">
        <v>195</v>
      </c>
      <c r="D57" s="6" t="s">
        <v>197</v>
      </c>
      <c r="E57" s="9"/>
      <c r="F57" s="6" t="s">
        <v>149</v>
      </c>
    </row>
    <row r="58" spans="1:6" x14ac:dyDescent="0.3">
      <c r="A58" s="35"/>
      <c r="B58" s="39"/>
      <c r="C58" s="6" t="s">
        <v>167</v>
      </c>
      <c r="D58" s="6" t="s">
        <v>169</v>
      </c>
      <c r="E58" s="11"/>
      <c r="F58" s="6" t="s">
        <v>140</v>
      </c>
    </row>
    <row r="59" spans="1:6" x14ac:dyDescent="0.3">
      <c r="A59" s="35"/>
      <c r="B59" s="39"/>
      <c r="C59" s="6" t="s">
        <v>187</v>
      </c>
      <c r="D59" s="6" t="s">
        <v>189</v>
      </c>
      <c r="E59" s="11"/>
      <c r="F59" s="6" t="s">
        <v>149</v>
      </c>
    </row>
    <row r="60" spans="1:6" x14ac:dyDescent="0.3">
      <c r="A60" s="35"/>
      <c r="B60" s="40"/>
    </row>
    <row r="61" spans="1:6" x14ac:dyDescent="0.3">
      <c r="A61" s="35"/>
      <c r="B61" s="41" t="s">
        <v>5</v>
      </c>
      <c r="C61" s="13" t="s">
        <v>96</v>
      </c>
      <c r="D61" s="13" t="s">
        <v>101</v>
      </c>
      <c r="E61" s="17"/>
      <c r="F61" s="13" t="s">
        <v>98</v>
      </c>
    </row>
    <row r="62" spans="1:6" x14ac:dyDescent="0.3">
      <c r="A62" s="35"/>
      <c r="B62" s="39"/>
      <c r="C62" s="6" t="s">
        <v>108</v>
      </c>
      <c r="D62" s="6" t="s">
        <v>106</v>
      </c>
      <c r="E62" s="1"/>
      <c r="F62" s="6" t="s">
        <v>66</v>
      </c>
    </row>
    <row r="63" spans="1:6" x14ac:dyDescent="0.3">
      <c r="A63" s="35"/>
      <c r="B63" s="39"/>
      <c r="C63" s="6" t="s">
        <v>120</v>
      </c>
      <c r="D63" s="6" t="s">
        <v>119</v>
      </c>
      <c r="E63" s="1"/>
      <c r="F63" s="6" t="s">
        <v>118</v>
      </c>
    </row>
    <row r="64" spans="1:6" x14ac:dyDescent="0.3">
      <c r="A64" s="35"/>
      <c r="B64" s="39"/>
      <c r="C64" s="6" t="s">
        <v>141</v>
      </c>
      <c r="D64" s="6" t="s">
        <v>142</v>
      </c>
      <c r="E64" s="1"/>
      <c r="F64" s="6" t="s">
        <v>140</v>
      </c>
    </row>
    <row r="65" spans="1:6" x14ac:dyDescent="0.3">
      <c r="A65" s="35"/>
      <c r="B65" s="39"/>
      <c r="C65" s="6" t="s">
        <v>155</v>
      </c>
      <c r="D65" s="6" t="s">
        <v>154</v>
      </c>
      <c r="E65" s="12"/>
      <c r="F65" s="6" t="s">
        <v>149</v>
      </c>
    </row>
    <row r="66" spans="1:6" x14ac:dyDescent="0.3">
      <c r="A66" s="35"/>
      <c r="B66" s="39"/>
      <c r="C66" s="6" t="s">
        <v>161</v>
      </c>
      <c r="D66" s="6" t="s">
        <v>160</v>
      </c>
      <c r="E66" s="21"/>
      <c r="F66" s="6" t="s">
        <v>149</v>
      </c>
    </row>
    <row r="67" spans="1:6" x14ac:dyDescent="0.3">
      <c r="A67" s="35"/>
      <c r="B67" s="39"/>
      <c r="C67" s="6" t="s">
        <v>195</v>
      </c>
      <c r="D67" s="6" t="s">
        <v>196</v>
      </c>
      <c r="E67" s="21"/>
      <c r="F67" s="6" t="s">
        <v>149</v>
      </c>
    </row>
    <row r="68" spans="1:6" x14ac:dyDescent="0.3">
      <c r="A68" s="35"/>
      <c r="B68" s="39"/>
      <c r="C68" s="6" t="s">
        <v>167</v>
      </c>
      <c r="D68" s="6" t="s">
        <v>168</v>
      </c>
      <c r="E68" s="11"/>
      <c r="F68" s="6" t="s">
        <v>140</v>
      </c>
    </row>
    <row r="69" spans="1:6" x14ac:dyDescent="0.3">
      <c r="A69" s="35"/>
      <c r="B69" s="39"/>
      <c r="C69" s="6" t="s">
        <v>187</v>
      </c>
      <c r="D69" s="6" t="s">
        <v>188</v>
      </c>
      <c r="E69" s="11"/>
      <c r="F69" s="6" t="s">
        <v>149</v>
      </c>
    </row>
    <row r="70" spans="1:6" ht="15" thickBot="1" x14ac:dyDescent="0.35">
      <c r="A70" s="36"/>
      <c r="B70" s="42"/>
    </row>
    <row r="71" spans="1:6" x14ac:dyDescent="0.3">
      <c r="A71" s="34" t="s">
        <v>76</v>
      </c>
      <c r="B71" s="45" t="s">
        <v>73</v>
      </c>
      <c r="C71" s="7" t="s">
        <v>129</v>
      </c>
      <c r="D71" s="7" t="s">
        <v>128</v>
      </c>
      <c r="E71" s="8"/>
      <c r="F71" s="7" t="s">
        <v>118</v>
      </c>
    </row>
    <row r="72" spans="1:6" x14ac:dyDescent="0.3">
      <c r="A72" s="35"/>
      <c r="B72" s="43"/>
      <c r="C72" s="6" t="s">
        <v>227</v>
      </c>
      <c r="D72" s="6" t="s">
        <v>226</v>
      </c>
      <c r="E72" s="11"/>
      <c r="F72" s="6" t="s">
        <v>149</v>
      </c>
    </row>
    <row r="73" spans="1:6" x14ac:dyDescent="0.3">
      <c r="A73" s="35"/>
      <c r="B73" s="43"/>
      <c r="C73" s="6" t="s">
        <v>150</v>
      </c>
      <c r="D73" s="6" t="s">
        <v>147</v>
      </c>
      <c r="E73" s="11"/>
      <c r="F73" s="6" t="s">
        <v>149</v>
      </c>
    </row>
    <row r="74" spans="1:6" x14ac:dyDescent="0.3">
      <c r="A74" s="35"/>
      <c r="B74" s="47"/>
      <c r="C74" s="15"/>
      <c r="D74" s="15"/>
      <c r="E74" s="16"/>
      <c r="F74" s="15"/>
    </row>
    <row r="75" spans="1:6" x14ac:dyDescent="0.3">
      <c r="A75" s="35"/>
      <c r="B75" s="46" t="s">
        <v>79</v>
      </c>
      <c r="C75" s="13" t="s">
        <v>131</v>
      </c>
      <c r="D75" s="13" t="s">
        <v>130</v>
      </c>
      <c r="E75" s="17"/>
      <c r="F75" s="13" t="s">
        <v>132</v>
      </c>
    </row>
    <row r="76" spans="1:6" x14ac:dyDescent="0.3">
      <c r="A76" s="35"/>
      <c r="B76" s="43"/>
      <c r="C76" s="6" t="s">
        <v>151</v>
      </c>
      <c r="D76" s="6" t="s">
        <v>148</v>
      </c>
      <c r="E76" s="11"/>
      <c r="F76" s="6" t="s">
        <v>149</v>
      </c>
    </row>
    <row r="77" spans="1:6" x14ac:dyDescent="0.3">
      <c r="A77" s="35"/>
      <c r="B77" s="47"/>
      <c r="C77" s="15"/>
      <c r="D77" s="15"/>
      <c r="E77" s="16"/>
      <c r="F77" s="15"/>
    </row>
    <row r="78" spans="1:6" x14ac:dyDescent="0.3">
      <c r="A78" s="35"/>
      <c r="B78" s="46" t="s">
        <v>268</v>
      </c>
      <c r="C78" s="6" t="s">
        <v>269</v>
      </c>
      <c r="D78" s="6" t="s">
        <v>271</v>
      </c>
      <c r="E78" s="11"/>
      <c r="F78" s="6" t="s">
        <v>267</v>
      </c>
    </row>
    <row r="79" spans="1:6" x14ac:dyDescent="0.3">
      <c r="A79" s="35"/>
      <c r="B79" s="43"/>
      <c r="C79" s="6" t="s">
        <v>270</v>
      </c>
      <c r="D79" s="6" t="s">
        <v>272</v>
      </c>
      <c r="E79" s="11"/>
      <c r="F79" s="6" t="s">
        <v>149</v>
      </c>
    </row>
    <row r="80" spans="1:6" ht="15" thickBot="1" x14ac:dyDescent="0.35">
      <c r="A80" s="36"/>
      <c r="B80" s="44"/>
      <c r="C80" s="19"/>
      <c r="D80" s="19"/>
      <c r="E80" s="20"/>
      <c r="F80" s="19"/>
    </row>
    <row r="81" spans="1:6" x14ac:dyDescent="0.3">
      <c r="A81" s="34" t="s">
        <v>163</v>
      </c>
      <c r="B81" s="45" t="s">
        <v>13</v>
      </c>
      <c r="C81" s="7" t="s">
        <v>173</v>
      </c>
      <c r="D81" s="7" t="s">
        <v>172</v>
      </c>
      <c r="E81" s="7"/>
      <c r="F81" s="7" t="s">
        <v>140</v>
      </c>
    </row>
    <row r="82" spans="1:6" x14ac:dyDescent="0.3">
      <c r="A82" s="35"/>
      <c r="B82" s="43"/>
      <c r="C82" s="6" t="s">
        <v>174</v>
      </c>
      <c r="D82" s="6" t="s">
        <v>175</v>
      </c>
      <c r="F82" s="6" t="s">
        <v>140</v>
      </c>
    </row>
    <row r="83" spans="1:6" x14ac:dyDescent="0.3">
      <c r="A83" s="35"/>
      <c r="B83" s="47"/>
      <c r="C83" s="15"/>
      <c r="D83" s="15"/>
      <c r="E83" s="15"/>
      <c r="F83" s="15"/>
    </row>
    <row r="84" spans="1:6" x14ac:dyDescent="0.3">
      <c r="A84" s="35"/>
      <c r="B84" s="46" t="s">
        <v>183</v>
      </c>
      <c r="C84" s="6" t="s">
        <v>165</v>
      </c>
      <c r="D84" s="6" t="s">
        <v>164</v>
      </c>
      <c r="F84" s="6" t="s">
        <v>149</v>
      </c>
    </row>
    <row r="85" spans="1:6" x14ac:dyDescent="0.3">
      <c r="A85" s="35"/>
      <c r="B85" s="43"/>
      <c r="C85" s="6" t="s">
        <v>181</v>
      </c>
      <c r="D85" s="6" t="s">
        <v>235</v>
      </c>
      <c r="F85" s="6" t="s">
        <v>149</v>
      </c>
    </row>
    <row r="86" spans="1:6" x14ac:dyDescent="0.3">
      <c r="A86" s="35"/>
      <c r="B86" s="43"/>
      <c r="C86" s="6" t="s">
        <v>177</v>
      </c>
      <c r="D86" s="6" t="s">
        <v>176</v>
      </c>
      <c r="F86" s="6" t="s">
        <v>149</v>
      </c>
    </row>
    <row r="87" spans="1:6" x14ac:dyDescent="0.3">
      <c r="A87" s="35"/>
      <c r="B87" s="43"/>
      <c r="C87" s="6" t="s">
        <v>179</v>
      </c>
      <c r="D87" s="6" t="s">
        <v>178</v>
      </c>
      <c r="F87" s="6" t="s">
        <v>149</v>
      </c>
    </row>
    <row r="88" spans="1:6" x14ac:dyDescent="0.3">
      <c r="A88" s="35"/>
      <c r="B88" s="43"/>
      <c r="C88" s="6" t="s">
        <v>182</v>
      </c>
      <c r="D88" s="6" t="s">
        <v>180</v>
      </c>
      <c r="F88" s="6" t="s">
        <v>149</v>
      </c>
    </row>
    <row r="89" spans="1:6" x14ac:dyDescent="0.3">
      <c r="A89" s="35"/>
      <c r="B89" s="43"/>
      <c r="C89" s="6" t="s">
        <v>190</v>
      </c>
      <c r="D89" s="6" t="s">
        <v>186</v>
      </c>
      <c r="F89" s="6" t="s">
        <v>149</v>
      </c>
    </row>
    <row r="90" spans="1:6" x14ac:dyDescent="0.3">
      <c r="A90" s="35"/>
      <c r="B90" s="43"/>
    </row>
    <row r="91" spans="1:6" x14ac:dyDescent="0.3">
      <c r="A91" s="35"/>
      <c r="B91" s="46" t="s">
        <v>205</v>
      </c>
      <c r="C91" s="13" t="s">
        <v>202</v>
      </c>
      <c r="D91" s="13" t="s">
        <v>206</v>
      </c>
      <c r="E91" s="13"/>
      <c r="F91" s="13" t="s">
        <v>207</v>
      </c>
    </row>
    <row r="92" spans="1:6" x14ac:dyDescent="0.3">
      <c r="A92" s="35"/>
      <c r="B92" s="43"/>
      <c r="C92" s="6" t="s">
        <v>203</v>
      </c>
      <c r="D92" s="6" t="s">
        <v>209</v>
      </c>
      <c r="F92" s="6" t="s">
        <v>207</v>
      </c>
    </row>
    <row r="93" spans="1:6" x14ac:dyDescent="0.3">
      <c r="A93" s="35"/>
      <c r="B93" s="43"/>
      <c r="C93" s="6" t="s">
        <v>214</v>
      </c>
      <c r="D93" s="6" t="s">
        <v>213</v>
      </c>
      <c r="F93" s="6" t="s">
        <v>218</v>
      </c>
    </row>
    <row r="94" spans="1:6" x14ac:dyDescent="0.3">
      <c r="A94" s="35"/>
      <c r="B94" s="43"/>
      <c r="C94" s="6" t="s">
        <v>204</v>
      </c>
      <c r="D94" s="6" t="s">
        <v>208</v>
      </c>
      <c r="F94" s="6" t="s">
        <v>207</v>
      </c>
    </row>
    <row r="95" spans="1:6" x14ac:dyDescent="0.3">
      <c r="A95" s="35"/>
      <c r="B95" s="43"/>
      <c r="C95" s="6" t="s">
        <v>216</v>
      </c>
      <c r="D95" s="6" t="s">
        <v>215</v>
      </c>
      <c r="F95" s="6" t="s">
        <v>217</v>
      </c>
    </row>
    <row r="96" spans="1:6" x14ac:dyDescent="0.3">
      <c r="A96" s="35"/>
      <c r="B96" s="43"/>
      <c r="C96" s="6" t="s">
        <v>220</v>
      </c>
      <c r="D96" s="6" t="s">
        <v>210</v>
      </c>
      <c r="F96" s="6" t="s">
        <v>211</v>
      </c>
    </row>
    <row r="97" spans="1:6" x14ac:dyDescent="0.3">
      <c r="A97" s="35"/>
      <c r="B97" s="43"/>
      <c r="C97" s="6" t="s">
        <v>201</v>
      </c>
      <c r="D97" s="6" t="s">
        <v>219</v>
      </c>
      <c r="F97" s="6" t="s">
        <v>211</v>
      </c>
    </row>
    <row r="98" spans="1:6" x14ac:dyDescent="0.3">
      <c r="A98" s="35"/>
      <c r="B98" s="43"/>
      <c r="C98" s="6" t="s">
        <v>275</v>
      </c>
      <c r="D98" s="6" t="s">
        <v>265</v>
      </c>
      <c r="F98" s="6" t="s">
        <v>212</v>
      </c>
    </row>
    <row r="99" spans="1:6" x14ac:dyDescent="0.3">
      <c r="A99" s="35"/>
      <c r="B99" s="43"/>
    </row>
    <row r="100" spans="1:6" x14ac:dyDescent="0.3">
      <c r="A100" s="35"/>
      <c r="B100" s="46" t="s">
        <v>221</v>
      </c>
      <c r="C100" s="13" t="s">
        <v>223</v>
      </c>
      <c r="D100" s="13" t="s">
        <v>222</v>
      </c>
      <c r="E100" s="13"/>
      <c r="F100" s="13" t="s">
        <v>207</v>
      </c>
    </row>
    <row r="101" spans="1:6" x14ac:dyDescent="0.3">
      <c r="A101" s="35"/>
      <c r="B101" s="43"/>
      <c r="C101" s="6" t="s">
        <v>224</v>
      </c>
      <c r="D101" s="6" t="s">
        <v>225</v>
      </c>
      <c r="F101" s="6" t="s">
        <v>211</v>
      </c>
    </row>
    <row r="102" spans="1:6" x14ac:dyDescent="0.3">
      <c r="A102" s="35"/>
      <c r="B102" s="43"/>
      <c r="C102" s="6" t="s">
        <v>232</v>
      </c>
      <c r="D102" s="6" t="s">
        <v>233</v>
      </c>
      <c r="F102" s="6" t="s">
        <v>211</v>
      </c>
    </row>
    <row r="103" spans="1:6" x14ac:dyDescent="0.3">
      <c r="A103" s="35"/>
      <c r="B103" s="43"/>
      <c r="C103" s="6" t="s">
        <v>234</v>
      </c>
      <c r="D103" s="6" t="s">
        <v>273</v>
      </c>
      <c r="F103" s="6" t="s">
        <v>212</v>
      </c>
    </row>
    <row r="104" spans="1:6" x14ac:dyDescent="0.3">
      <c r="A104" s="35"/>
      <c r="B104" s="43"/>
    </row>
    <row r="105" spans="1:6" x14ac:dyDescent="0.3">
      <c r="A105" s="35"/>
      <c r="B105" s="46" t="s">
        <v>236</v>
      </c>
      <c r="C105" s="13" t="s">
        <v>237</v>
      </c>
      <c r="D105" s="13" t="s">
        <v>238</v>
      </c>
      <c r="E105" s="13"/>
      <c r="F105" s="13" t="s">
        <v>274</v>
      </c>
    </row>
    <row r="106" spans="1:6" x14ac:dyDescent="0.3">
      <c r="A106" s="35"/>
      <c r="B106" s="43"/>
      <c r="C106" s="6" t="s">
        <v>239</v>
      </c>
      <c r="D106" s="6" t="s">
        <v>240</v>
      </c>
      <c r="F106" s="6" t="s">
        <v>274</v>
      </c>
    </row>
  </sheetData>
  <mergeCells count="21">
    <mergeCell ref="B61:B70"/>
    <mergeCell ref="A71:A80"/>
    <mergeCell ref="B75:B77"/>
    <mergeCell ref="B71:B74"/>
    <mergeCell ref="B48:B50"/>
    <mergeCell ref="B105:B106"/>
    <mergeCell ref="A81:A106"/>
    <mergeCell ref="A2:A22"/>
    <mergeCell ref="B2:B11"/>
    <mergeCell ref="B12:B22"/>
    <mergeCell ref="A23:A44"/>
    <mergeCell ref="B33:B44"/>
    <mergeCell ref="B23:B32"/>
    <mergeCell ref="B78:B80"/>
    <mergeCell ref="B45:B47"/>
    <mergeCell ref="B84:B90"/>
    <mergeCell ref="B91:B99"/>
    <mergeCell ref="B81:B83"/>
    <mergeCell ref="B100:B104"/>
    <mergeCell ref="A45:A70"/>
    <mergeCell ref="B51:B6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2025-12-08T11:30:58Z</dcterms:modified>
</cp:coreProperties>
</file>