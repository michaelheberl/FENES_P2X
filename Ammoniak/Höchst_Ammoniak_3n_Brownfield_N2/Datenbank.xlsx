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Ammoniak\Höchst_Ammoniak_3n_Brownfield_N2\"/>
    </mc:Choice>
  </mc:AlternateContent>
  <xr:revisionPtr revIDLastSave="0" documentId="13_ncr:1_{0F0E18AD-4B02-4960-979F-2D3127EE148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E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Timon Geiß</author>
    <author>tc={43B22D57-32B5-465C-B2B0-F899D9F070E0}</author>
  </authors>
  <commentList>
    <comment ref="E34" authorId="0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35" authorId="0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36" authorId="0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40" authorId="1" shapeId="0" xr:uid="{43B22D57-32B5-465C-B2B0-F899D9F070E0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Laut Linde Preis bei 3.560,00 € pro 158m3 bzw 600L bei 300bar (https://produkte.linde-gas.at/industriegase/stickstoff.html und https://www.linde-gas.de/shop/de/de-ig/stickstoff-50-b%C3%BCndel-stickstoff-50-buendel).
Dichte von 1,251 kg/m3 (https://www.chemie.de/lexikon/Liste_der_Dichte_gasf%C3%B6rmiger_Stoffe.html)
Lieferumfang: 1,251 kg/m3 * 158m3 =197,66 kg
Bedeutet: 3.560,00 €/197,66 kg = 18€/kg ohne mengenrabatte o.Ä
Antwort:
    Preis von 0,0495 gewählt zum testen da hier sowohl produziert als auch bezogen wird. Ab 0,05 wird nur produziert ab 0,049 wird nur bezogen…
</t>
      </text>
    </comment>
  </commentList>
</comments>
</file>

<file path=xl/sharedStrings.xml><?xml version="1.0" encoding="utf-8"?>
<sst xmlns="http://schemas.openxmlformats.org/spreadsheetml/2006/main" count="515" uniqueCount="304">
  <si>
    <t>PEM Elektrolyse</t>
  </si>
  <si>
    <t>Einheit</t>
  </si>
  <si>
    <t>Technologie</t>
  </si>
  <si>
    <t>Haber-Bosch</t>
  </si>
  <si>
    <t>N2-Bereitstellung / ASU kryogen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</si>
  <si>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</si>
  <si>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</si>
  <si>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</si>
  <si>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</si>
  <si>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</si>
  <si>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</si>
  <si>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</si>
  <si>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</si>
  <si>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</si>
  <si>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</si>
  <si>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</si>
  <si>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</si>
  <si>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</si>
  <si>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</si>
  <si>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</si>
  <si>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</si>
  <si>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</si>
  <si>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</si>
  <si>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</si>
  <si>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</si>
  <si>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</si>
  <si>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</si>
  <si>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</si>
  <si>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</si>
  <si>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</si>
  <si>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</si>
  <si>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</si>
  <si>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capex_hb</t>
  </si>
  <si>
    <t>opex_hb</t>
  </si>
  <si>
    <t>lebensdauer_hb</t>
  </si>
  <si>
    <t>zinssatz_hb</t>
  </si>
  <si>
    <t>h2_bedarf_hb</t>
  </si>
  <si>
    <t>n2_bedarf_hb</t>
  </si>
  <si>
    <t>kg/h</t>
  </si>
  <si>
    <t>capex_asu</t>
  </si>
  <si>
    <t>opex_asu</t>
  </si>
  <si>
    <t>lebensdauer_asu</t>
  </si>
  <si>
    <t>zinssatz_asu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</si>
  <si>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</si>
  <si>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</si>
  <si>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</si>
  <si>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</si>
  <si>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</si>
  <si>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</si>
  <si>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</si>
  <si>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</si>
  <si>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</si>
  <si>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</si>
  <si>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</si>
  <si>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</si>
  <si>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</si>
  <si>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</si>
  <si>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</si>
  <si>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</si>
  <si>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</si>
  <si>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</si>
  <si>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</si>
  <si>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</si>
  <si>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</si>
  <si>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</si>
  <si>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</si>
  <si>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</si>
  <si>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</si>
  <si>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</si>
  <si>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</si>
  <si>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</si>
  <si>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</si>
  <si>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</si>
  <si>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</si>
  <si>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</si>
  <si>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</si>
  <si>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strombedarf_hb</t>
  </si>
  <si>
    <t>strombedarf_asu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</si>
  <si>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</si>
  <si>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</si>
  <si>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</si>
  <si>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</si>
  <si>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</si>
  <si>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</si>
  <si>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</si>
  <si>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</si>
  <si>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</si>
  <si>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</si>
  <si>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</si>
  <si>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</si>
  <si>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</si>
  <si>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</si>
  <si>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</si>
  <si>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</si>
  <si>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Ammoniak Verkauf</t>
  </si>
  <si>
    <t>Wasserstoff Verkaufspreis</t>
  </si>
  <si>
    <t>Ammoniak Verkaufspreis</t>
  </si>
  <si>
    <t>wasserstofferloes</t>
  </si>
  <si>
    <t>ammoniakerloes</t>
  </si>
  <si>
    <t>€/kg_H2</t>
  </si>
  <si>
    <t>€/kg_NH3</t>
  </si>
  <si>
    <t>€/kW_el</t>
  </si>
  <si>
    <t>Strombedarf</t>
  </si>
  <si>
    <t>kWh/kg_NH3</t>
  </si>
  <si>
    <t>produktionskapa_hb</t>
  </si>
  <si>
    <t>Installierter Massenstrom</t>
  </si>
  <si>
    <t>€/kg_NH3 *h</t>
  </si>
  <si>
    <t>kg_H2/kg_NH3</t>
  </si>
  <si>
    <t>kg_N2/kg_NH3</t>
  </si>
  <si>
    <t>Stickstoffbedarf Mengenverhältnis</t>
  </si>
  <si>
    <t>Wasserstoffbedarf Mengenverhältnis</t>
  </si>
  <si>
    <t xml:space="preserve">kWh/kg_N2 </t>
  </si>
  <si>
    <t>€/kg_N2 *h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</si>
  <si>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</si>
  <si>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</si>
  <si>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</si>
  <si>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</si>
  <si>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</si>
  <si>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</si>
  <si>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</si>
  <si>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</si>
  <si>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</si>
  <si>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</si>
  <si>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</si>
  <si>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</si>
  <si>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</si>
  <si>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</si>
  <si>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</si>
  <si>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</si>
  <si>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</si>
  <si>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annuity_asu</t>
  </si>
  <si>
    <t>annuity_hb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</si>
  <si>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</si>
  <si>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</si>
  <si>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</si>
  <si>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</si>
  <si>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</si>
  <si>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</si>
  <si>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</si>
  <si>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</si>
  <si>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</si>
  <si>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</si>
  <si>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</si>
  <si>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</si>
  <si>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result_asu_leistung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</si>
  <si>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</si>
  <si>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</si>
  <si>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</si>
  <si>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</si>
  <si>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</si>
  <si>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</si>
  <si>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</si>
  <si>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</si>
  <si>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result_asu_flowsum_elin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</si>
  <si>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</si>
  <si>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</si>
  <si>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</si>
  <si>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</si>
  <si>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</si>
  <si>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</si>
  <si>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</si>
  <si>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</si>
  <si>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Ammoniakverkauf</t>
  </si>
  <si>
    <t>kg_H2/a</t>
  </si>
  <si>
    <t>result_nh3verkauf_flowsum</t>
  </si>
  <si>
    <t>kg_NH3/a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</si>
  <si>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</si>
  <si>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</si>
  <si>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</si>
  <si>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</si>
  <si>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</si>
  <si>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</si>
  <si>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result_asu_flowsum_n2out</t>
  </si>
  <si>
    <t>Stickstoffproduktion</t>
  </si>
  <si>
    <t>kg_N2/a</t>
  </si>
  <si>
    <t>result_hb_flowsum_nh3out</t>
  </si>
  <si>
    <t>Ammoniakproduktion</t>
  </si>
  <si>
    <t>result_hb_flowsum_h2in</t>
  </si>
  <si>
    <t>result_hb_flowsum_n2in</t>
  </si>
  <si>
    <t>Wasserstoffbedarf</t>
  </si>
  <si>
    <t>Stickstoffbedarf</t>
  </si>
  <si>
    <t>result_hb_flowsum_elin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</si>
  <si>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</si>
  <si>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</si>
  <si>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</si>
  <si>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</si>
  <si>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</si>
  <si>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</si>
  <si>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calc_gesamtinvest_asu</t>
  </si>
  <si>
    <t>calc_gesamtinvest_h2s</t>
  </si>
  <si>
    <t>calc_gesamtinvest_hb</t>
  </si>
  <si>
    <t>calc_einnahmen_stromverkauf</t>
  </si>
  <si>
    <t>calc_einnahmen_h2verkauf</t>
  </si>
  <si>
    <t>calc_einnahmen_nh3verkauf</t>
  </si>
  <si>
    <t>€/a</t>
  </si>
  <si>
    <t>Einnahmen aus Stromverkauf</t>
  </si>
  <si>
    <t>Einnahmen aus Wasserstoffverkauf</t>
  </si>
  <si>
    <t>Einnahmen aus Ammoniakverkauf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</si>
  <si>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</si>
  <si>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</si>
  <si>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</si>
  <si>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</si>
  <si>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</si>
  <si>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</si>
  <si>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</si>
  <si>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calc_opex_fix_asu</t>
  </si>
  <si>
    <t>calc_opex_fix_h2s</t>
  </si>
  <si>
    <t>calc_opex_fix_hb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</si>
  <si>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</si>
  <si>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</si>
  <si>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</si>
  <si>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</si>
  <si>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</si>
  <si>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</si>
  <si>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</si>
  <si>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</si>
  <si>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</si>
  <si>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</si>
  <si>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</si>
  <si>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calc_verzinstinvest_asu</t>
  </si>
  <si>
    <t>calc_verzinstinvest_h2s</t>
  </si>
  <si>
    <t>calc_verzinstinvest_hb</t>
  </si>
  <si>
    <t>calc_verzinstinvest_gesamt</t>
  </si>
  <si>
    <t>Gesamte verzinste Investitionskosten</t>
  </si>
  <si>
    <t>Gesamte unverzinste Investitionskosten</t>
  </si>
  <si>
    <t>calc_gesamtinvest</t>
  </si>
  <si>
    <t>calc_verzinstinvest_annuity_gesamt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</si>
  <si>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</si>
  <si>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</si>
  <si>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</si>
  <si>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</si>
  <si>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</si>
  <si>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</si>
  <si>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</si>
  <si>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</si>
  <si>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</si>
  <si>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</si>
  <si>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</si>
  <si>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</si>
  <si>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</si>
  <si>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</si>
  <si>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</si>
  <si>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</si>
  <si>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</si>
  <si>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</si>
  <si>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calc_cost_asu</t>
  </si>
  <si>
    <t>calc_cost_hb</t>
  </si>
  <si>
    <t>calc_cost_pem</t>
  </si>
  <si>
    <t>calc_annuity_pem</t>
  </si>
  <si>
    <t>Annuität</t>
  </si>
  <si>
    <t>calc_annuity_wka</t>
  </si>
  <si>
    <t>calc_annuity_pv</t>
  </si>
  <si>
    <t>calc_annuity_asu</t>
  </si>
  <si>
    <t>calc_annuity_h2s</t>
  </si>
  <si>
    <t>calc_annuity_hb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</si>
  <si>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</si>
  <si>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</si>
  <si>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</si>
  <si>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</si>
  <si>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</si>
  <si>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</si>
  <si>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Levelized Cost of Nitrogen</t>
  </si>
  <si>
    <t>Levelized Cost of Ammonia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</si>
  <si>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</si>
  <si>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</si>
  <si>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</si>
  <si>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</si>
  <si>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</si>
  <si>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</si>
  <si>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</si>
  <si>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calc_lcon_asu</t>
  </si>
  <si>
    <t>calc_lcof_hb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</si>
  <si>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</si>
  <si>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</si>
  <si>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</si>
  <si>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</si>
  <si>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</si>
  <si>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</si>
  <si>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</si>
  <si>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</si>
  <si>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</si>
  <si>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</si>
  <si>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</si>
  <si>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</si>
  <si>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</si>
  <si>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</si>
  <si>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Gesamtkosten pro kg Stickstoff</t>
  </si>
  <si>
    <t>Gesamtkosten pro t Ammoniak</t>
  </si>
  <si>
    <t>calc_cost_n2</t>
  </si>
  <si>
    <t>calc_cost_nh3</t>
  </si>
  <si>
    <t>Verkaufspreiseanalyse</t>
  </si>
  <si>
    <t>Maximaler Verkaufspreis Bilanznull</t>
  </si>
  <si>
    <t>calc_maxprice</t>
  </si>
  <si>
    <t>Verkaufspreis Bilanznull mit Vorverkauf</t>
  </si>
  <si>
    <t>calc_price</t>
  </si>
  <si>
    <t>Stickstoff Kauf</t>
  </si>
  <si>
    <t>Stickstoff Kaufpreis</t>
  </si>
  <si>
    <t>n2_preis</t>
  </si>
  <si>
    <t>Stickstoff</t>
  </si>
  <si>
    <t>Bezug Stickstoff</t>
  </si>
  <si>
    <t>result_n2bezug_flowsum</t>
  </si>
  <si>
    <t>calc_n2bezug_kosten</t>
  </si>
  <si>
    <t>kg</t>
  </si>
  <si>
    <t>€ / kg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</si>
</sst>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7">
    <xf numFmtId="0" fontId="0" fillId="0" borderId="0" xfId="0"/>
    <xf numFmtId="0" fontId="2" fillId="0" borderId="1" xfId="0" applyFont="1" applyBorder="1"/>
    <xf numFmtId="0" fontId="0" fillId="0" borderId="2" xfId="0" applyBorder="1"/>
    <xf numFmtId="165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2" fillId="0" borderId="0" xfId="0" applyFont="1"/>
    <xf numFmtId="165" fontId="0" fillId="0" borderId="0" xfId="0" applyNumberFormat="1"/>
    <xf numFmtId="165" fontId="2" fillId="0" borderId="1" xfId="0" applyNumberFormat="1" applyFont="1" applyBorder="1"/>
    <xf numFmtId="165" fontId="0" fillId="0" borderId="4" xfId="0" applyNumberFormat="1" applyBorder="1"/>
    <xf numFmtId="165" fontId="0" fillId="0" borderId="3" xfId="0" applyNumberFormat="1" applyBorder="1"/>
    <xf numFmtId="0" fontId="2" fillId="0" borderId="6" xfId="0" applyFont="1" applyBorder="1"/>
    <xf numFmtId="0" fontId="3" fillId="0" borderId="0" xfId="0" applyFont="1"/>
    <xf numFmtId="2" fontId="0" fillId="0" borderId="0" xfId="0" applyNumberFormat="1"/>
    <xf numFmtId="0" fontId="0" fillId="0" borderId="1" xfId="0" applyBorder="1"/>
    <xf numFmtId="165" fontId="0" fillId="0" borderId="1" xfId="0" applyNumberFormat="1" applyBorder="1"/>
    <xf numFmtId="0" fontId="2" fillId="0" borderId="2" xfId="0" applyFont="1" applyBorder="1"/>
    <xf numFmtId="0" fontId="2" fillId="0" borderId="5" xfId="0" applyFont="1" applyBorder="1"/>
    <xf numFmtId="0" fontId="0" fillId="0" borderId="5" xfId="0" applyBorder="1"/>
    <xf numFmtId="165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4" xfId="0" applyNumberFormat="1" applyBorder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4" fontId="0" fillId="0" borderId="0" xfId="0" applyNumberFormat="1"/>
    <xf numFmtId="0" fontId="3" fillId="0" borderId="2" xfId="0" applyFont="1" applyBorder="1"/>
    <xf numFmtId="0" fontId="6" fillId="0" borderId="6" xfId="0" applyFont="1" applyBorder="1"/>
    <xf numFmtId="0" fontId="6" fillId="0" borderId="1" xfId="0" applyFont="1" applyBorder="1"/>
    <xf numFmtId="165" fontId="6" fillId="0" borderId="1" xfId="0" applyNumberFormat="1" applyFont="1" applyBorder="1"/>
    <xf numFmtId="165" fontId="3" fillId="0" borderId="2" xfId="0" applyNumberFormat="1" applyFont="1" applyBorder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165" fontId="3" fillId="0" borderId="0" xfId="0" applyNumberFormat="1" applyFont="1"/>
    <xf numFmtId="1" fontId="3" fillId="0" borderId="0" xfId="0" applyNumberFormat="1" applyFont="1"/>
    <xf numFmtId="0" fontId="3" fillId="0" borderId="4" xfId="0" applyFont="1" applyBorder="1"/>
    <xf numFmtId="2" fontId="3" fillId="0" borderId="4" xfId="0" applyNumberFormat="1" applyFont="1" applyBorder="1"/>
    <xf numFmtId="0" fontId="3" fillId="0" borderId="3" xfId="0" applyFont="1" applyBorder="1"/>
    <xf numFmtId="165" fontId="3" fillId="0" borderId="3" xfId="0" applyNumberFormat="1" applyFont="1" applyBorder="1"/>
    <xf numFmtId="2" fontId="3" fillId="0" borderId="2" xfId="0" applyNumberFormat="1" applyFont="1" applyBorder="1"/>
    <xf numFmtId="165" fontId="3" fillId="0" borderId="4" xfId="0" applyNumberFormat="1" applyFont="1" applyBorder="1"/>
    <xf numFmtId="0" fontId="3" fillId="0" borderId="1" xfId="0" applyFont="1" applyBorder="1"/>
    <xf numFmtId="165" fontId="3" fillId="0" borderId="1" xfId="0" applyNumberFormat="1" applyFont="1" applyBorder="1"/>
    <xf numFmtId="2" fontId="3" fillId="0" borderId="0" xfId="1" applyNumberFormat="1" applyFont="1" applyFill="1" applyBorder="1"/>
    <xf numFmtId="4" fontId="3" fillId="0" borderId="0" xfId="0" applyNumberFormat="1" applyFont="1"/>
    <xf numFmtId="166" fontId="3" fillId="0" borderId="0" xfId="1" applyNumberFormat="1" applyFont="1" applyFill="1" applyBorder="1"/>
    <xf numFmtId="167" fontId="0" fillId="0" borderId="0" xfId="0" applyNumberFormat="1"/>
    <xf numFmtId="0" fontId="2" fillId="0" borderId="7" xfId="0" applyFont="1" applyBorder="1" applyAlignment="1">
      <alignment horizontal="center" vertical="top"/>
    </xf>
    <xf numFmtId="0" fontId="0" fillId="0" borderId="7" xfId="0" applyBorder="1"/>
    <xf numFmtId="165" fontId="0" fillId="0" borderId="7" xfId="0" applyNumberFormat="1" applyBorder="1"/>
    <xf numFmtId="0" fontId="3" fillId="2" borderId="2" xfId="0" applyFont="1" applyFill="1" applyBorder="1"/>
    <xf numFmtId="2" fontId="3" fillId="2" borderId="2" xfId="0" applyNumberFormat="1" applyFont="1" applyFill="1" applyBorder="1"/>
    <xf numFmtId="0" fontId="3" fillId="2" borderId="0" xfId="0" applyFont="1" applyFill="1"/>
    <xf numFmtId="2" fontId="3" fillId="2" borderId="0" xfId="0" applyNumberFormat="1" applyFont="1" applyFill="1"/>
    <xf numFmtId="0" fontId="7" fillId="2" borderId="3" xfId="0" applyFont="1" applyFill="1" applyBorder="1" applyAlignment="1">
      <alignment horizontal="center" vertical="top"/>
    </xf>
    <xf numFmtId="0" fontId="8" fillId="2" borderId="3" xfId="0" applyFont="1" applyFill="1" applyBorder="1"/>
    <xf numFmtId="165" fontId="8" fillId="2" borderId="3" xfId="0" applyNumberFormat="1" applyFont="1" applyFill="1" applyBorder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6" fillId="2" borderId="2" xfId="0" applyFont="1" applyFill="1" applyBorder="1" applyAlignment="1">
      <alignment horizontal="center" vertical="top"/>
    </xf>
    <xf numFmtId="0" fontId="6" fillId="2" borderId="0" xfId="0" applyFont="1" applyFill="1" applyAlignment="1">
      <alignment horizontal="center" vertical="top"/>
    </xf>
    <xf numFmtId="0" fontId="6" fillId="2" borderId="3" xfId="0" applyFont="1" applyFill="1" applyBorder="1" applyAlignment="1">
      <alignment horizontal="center" vertical="top"/>
    </xf>
    <xf numFmtId="0" fontId="6" fillId="0" borderId="4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8290D5C5-4491-4203-89A3-3A241F82C47C}" userId="73709f7862571f8c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40" dT="2025-07-23T08:22:36.98" personId="{8290D5C5-4491-4203-89A3-3A241F82C47C}" id="{43B22D57-32B5-465C-B2B0-F899D9F070E0}">
    <text>Laut Linde Preis bei 3.560,00 € pro 158m3 bzw 600L bei 300bar (https://produkte.linde-gas.at/industriegase/stickstoff.html und https://www.linde-gas.de/shop/de/de-ig/stickstoff-50-b%C3%BCndel-stickstoff-50-buendel).
Dichte von 1,251 kg/m3 (https://www.chemie.de/lexikon/Liste_der_Dichte_gasf%C3%B6rmiger_Stoffe.html)
Lieferumfang: 1,251 kg/m3 * 158m3 =197,66 kg
Bedeutet: 3.560,00 €/197,66 kg = 18€/kg ohne mengenrabatte o.Ä</text>
    <extLst>
      <x:ext xmlns:xltc2="http://schemas.microsoft.com/office/spreadsheetml/2020/threadedcomments2" uri="{F7C98A9C-CBB3-438F-8F68-D28B6AF4A901}">
        <xltc2:checksum>1174057605</xltc2:checksum>
        <xltc2:hyperlink startIndex="63" length="59" url="https://produkte.linde-gas.at/industriegase/stickstoff.html"/>
        <xltc2:hyperlink startIndex="127" length="85" url="https://www.linde-gas.de/shop/de/de-ig/stickstoff-50-b%C3%BCndel-stickstoff-50-buende"/>
        <xltc2:hyperlink startIndex="241" length="75" url="https://www.chemie.de/lexikon/Liste_der_Dichte_gasf%C3%B6rmiger_Stoffe.html"/>
      </x:ext>
    </extLst>
  </threadedComment>
  <threadedComment ref="E40" dT="2025-07-23T09:43:29.68" personId="{8290D5C5-4491-4203-89A3-3A241F82C47C}" id="{82EFE038-5A1B-4473-9735-CF1DA948F645}" parentId="{43B22D57-32B5-465C-B2B0-F899D9F070E0}">
    <text xml:space="preserve">Preis von 0,0495 gewählt zum testen da hier sowohl produziert als auch bezogen wird. Ab 0,05 wird nur produziert ab 0,049 wird nur bezogen…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abSelected="1" topLeftCell="A33" zoomScale="115" zoomScaleNormal="115" workbookViewId="0">
      <selection activeCell="F43" sqref="F43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4.33203125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1" t="s">
        <v>83</v>
      </c>
      <c r="B1" s="1" t="s">
        <v>2</v>
      </c>
      <c r="C1" s="1" t="s">
        <v>26</v>
      </c>
      <c r="D1" s="1" t="s">
        <v>25</v>
      </c>
      <c r="E1" s="8" t="s">
        <v>9</v>
      </c>
      <c r="F1" s="1" t="s">
        <v>1</v>
      </c>
      <c r="G1" s="6"/>
    </row>
    <row r="2" spans="1:7" x14ac:dyDescent="0.3">
      <c r="A2" s="58" t="s">
        <v>84</v>
      </c>
      <c r="B2" s="68" t="s">
        <v>0</v>
      </c>
      <c r="C2" s="2" t="s">
        <v>10</v>
      </c>
      <c r="D2" s="2" t="s">
        <v>27</v>
      </c>
      <c r="E2" s="3">
        <v>0.66600000000000004</v>
      </c>
      <c r="F2" s="2" t="s">
        <v>24</v>
      </c>
    </row>
    <row r="3" spans="1:7" x14ac:dyDescent="0.3">
      <c r="A3" s="59"/>
      <c r="B3" s="66"/>
      <c r="C3" t="s">
        <v>102</v>
      </c>
      <c r="D3" t="s">
        <v>75</v>
      </c>
      <c r="E3" s="13">
        <v>50</v>
      </c>
      <c r="F3" t="s">
        <v>235</v>
      </c>
    </row>
    <row r="4" spans="1:7" x14ac:dyDescent="0.3">
      <c r="A4" s="59"/>
      <c r="B4" s="66"/>
      <c r="C4" t="s">
        <v>12</v>
      </c>
      <c r="D4" t="s">
        <v>28</v>
      </c>
      <c r="E4" s="20">
        <v>1500</v>
      </c>
      <c r="F4" t="s">
        <v>101</v>
      </c>
    </row>
    <row r="5" spans="1:7" x14ac:dyDescent="0.3">
      <c r="A5" s="59"/>
      <c r="B5" s="66"/>
      <c r="C5" t="s">
        <v>13</v>
      </c>
      <c r="D5" t="s">
        <v>29</v>
      </c>
      <c r="E5" s="7">
        <v>0.03</v>
      </c>
      <c r="F5" t="s">
        <v>78</v>
      </c>
    </row>
    <row r="6" spans="1:7" x14ac:dyDescent="0.3">
      <c r="A6" s="59"/>
      <c r="B6" s="66"/>
      <c r="C6" t="s">
        <v>15</v>
      </c>
      <c r="D6" t="s">
        <v>30</v>
      </c>
      <c r="E6" s="21">
        <v>20</v>
      </c>
      <c r="F6" t="s">
        <v>16</v>
      </c>
    </row>
    <row r="7" spans="1:7" x14ac:dyDescent="0.3">
      <c r="A7" s="59"/>
      <c r="B7" s="66"/>
      <c r="C7" t="s">
        <v>17</v>
      </c>
      <c r="D7" t="s">
        <v>31</v>
      </c>
      <c r="E7" s="7">
        <v>0.08</v>
      </c>
      <c r="F7" t="s">
        <v>24</v>
      </c>
    </row>
    <row r="8" spans="1:7" x14ac:dyDescent="0.3">
      <c r="A8" s="59"/>
      <c r="B8" s="69" t="s">
        <v>3</v>
      </c>
      <c r="C8" s="4" t="s">
        <v>102</v>
      </c>
      <c r="D8" s="4" t="s">
        <v>76</v>
      </c>
      <c r="E8" s="22">
        <v>1.8</v>
      </c>
      <c r="F8" s="4" t="s">
        <v>103</v>
      </c>
    </row>
    <row r="9" spans="1:7" x14ac:dyDescent="0.3">
      <c r="A9" s="59"/>
      <c r="B9" s="66"/>
      <c r="C9" t="s">
        <v>105</v>
      </c>
      <c r="D9" t="s">
        <v>104</v>
      </c>
      <c r="E9" s="13">
        <v>285.39999999999998</v>
      </c>
      <c r="F9" s="12" t="s">
        <v>38</v>
      </c>
    </row>
    <row r="10" spans="1:7" x14ac:dyDescent="0.3">
      <c r="A10" s="59"/>
      <c r="B10" s="66"/>
      <c r="C10" t="s">
        <v>12</v>
      </c>
      <c r="D10" t="s">
        <v>32</v>
      </c>
      <c r="E10" s="13">
        <v>9070</v>
      </c>
      <c r="F10" s="13" t="s">
        <v>106</v>
      </c>
    </row>
    <row r="11" spans="1:7" x14ac:dyDescent="0.3">
      <c r="A11" s="59"/>
      <c r="B11" s="66"/>
      <c r="C11" t="s">
        <v>13</v>
      </c>
      <c r="D11" t="s">
        <v>33</v>
      </c>
      <c r="E11" s="7">
        <v>0.05</v>
      </c>
      <c r="F11" t="s">
        <v>78</v>
      </c>
    </row>
    <row r="12" spans="1:7" x14ac:dyDescent="0.3">
      <c r="A12" s="59"/>
      <c r="B12" s="66"/>
      <c r="C12" t="s">
        <v>110</v>
      </c>
      <c r="D12" t="s">
        <v>36</v>
      </c>
      <c r="E12" s="13">
        <v>0.17799999999999999</v>
      </c>
      <c r="F12" t="s">
        <v>107</v>
      </c>
    </row>
    <row r="13" spans="1:7" x14ac:dyDescent="0.3">
      <c r="A13" s="59"/>
      <c r="B13" s="66"/>
      <c r="C13" t="s">
        <v>109</v>
      </c>
      <c r="D13" t="s">
        <v>37</v>
      </c>
      <c r="E13" s="13">
        <v>0.82199999999999995</v>
      </c>
      <c r="F13" t="s">
        <v>108</v>
      </c>
    </row>
    <row r="14" spans="1:7" x14ac:dyDescent="0.3">
      <c r="A14" s="59"/>
      <c r="B14" s="66"/>
      <c r="C14" t="s">
        <v>15</v>
      </c>
      <c r="D14" t="s">
        <v>34</v>
      </c>
      <c r="E14" s="21">
        <v>25</v>
      </c>
      <c r="F14" t="s">
        <v>16</v>
      </c>
    </row>
    <row r="15" spans="1:7" x14ac:dyDescent="0.3">
      <c r="A15" s="59"/>
      <c r="B15" s="70"/>
      <c r="C15" s="5" t="s">
        <v>17</v>
      </c>
      <c r="D15" s="5" t="s">
        <v>35</v>
      </c>
      <c r="E15" s="10">
        <v>0.08</v>
      </c>
      <c r="F15" s="5" t="s">
        <v>24</v>
      </c>
    </row>
    <row r="16" spans="1:7" x14ac:dyDescent="0.3">
      <c r="A16" s="59"/>
      <c r="B16" s="62" t="s">
        <v>4</v>
      </c>
      <c r="C16" t="s">
        <v>102</v>
      </c>
      <c r="D16" t="s">
        <v>77</v>
      </c>
      <c r="E16" s="13">
        <f>240/1000</f>
        <v>0.24</v>
      </c>
      <c r="F16" t="s">
        <v>111</v>
      </c>
    </row>
    <row r="17" spans="1:6" x14ac:dyDescent="0.3">
      <c r="A17" s="59"/>
      <c r="B17" s="62"/>
      <c r="C17" t="s">
        <v>12</v>
      </c>
      <c r="D17" t="s">
        <v>39</v>
      </c>
      <c r="E17" s="13">
        <v>1990</v>
      </c>
      <c r="F17" t="s">
        <v>112</v>
      </c>
    </row>
    <row r="18" spans="1:6" x14ac:dyDescent="0.3">
      <c r="A18" s="59"/>
      <c r="B18" s="62"/>
      <c r="C18" t="s">
        <v>13</v>
      </c>
      <c r="D18" t="s">
        <v>40</v>
      </c>
      <c r="E18" s="7">
        <v>0.05</v>
      </c>
      <c r="F18" t="s">
        <v>78</v>
      </c>
    </row>
    <row r="19" spans="1:6" x14ac:dyDescent="0.3">
      <c r="A19" s="59"/>
      <c r="B19" s="62"/>
      <c r="C19" t="s">
        <v>15</v>
      </c>
      <c r="D19" t="s">
        <v>41</v>
      </c>
      <c r="E19" s="21">
        <v>25</v>
      </c>
      <c r="F19" t="s">
        <v>16</v>
      </c>
    </row>
    <row r="20" spans="1:6" ht="15" thickBot="1" x14ac:dyDescent="0.35">
      <c r="A20" s="59"/>
      <c r="B20" s="62"/>
      <c r="C20" t="s">
        <v>17</v>
      </c>
      <c r="D20" t="s">
        <v>42</v>
      </c>
      <c r="E20" s="7">
        <v>0.08</v>
      </c>
      <c r="F20" t="s">
        <v>24</v>
      </c>
    </row>
    <row r="21" spans="1:6" x14ac:dyDescent="0.3">
      <c r="A21" s="58" t="s">
        <v>85</v>
      </c>
      <c r="B21" s="61" t="s">
        <v>5</v>
      </c>
      <c r="C21" s="2" t="s">
        <v>113</v>
      </c>
      <c r="D21" s="2" t="s">
        <v>45</v>
      </c>
      <c r="E21" s="23">
        <v>490</v>
      </c>
      <c r="F21" s="27" t="s">
        <v>99</v>
      </c>
    </row>
    <row r="22" spans="1:6" x14ac:dyDescent="0.3">
      <c r="A22" s="59"/>
      <c r="B22" s="62"/>
      <c r="C22" t="s">
        <v>13</v>
      </c>
      <c r="D22" t="s">
        <v>52</v>
      </c>
      <c r="E22" s="7">
        <v>0.01</v>
      </c>
      <c r="F22" t="s">
        <v>78</v>
      </c>
    </row>
    <row r="23" spans="1:6" x14ac:dyDescent="0.3">
      <c r="A23" s="59"/>
      <c r="B23" s="62"/>
      <c r="C23" t="s">
        <v>15</v>
      </c>
      <c r="D23" t="s">
        <v>44</v>
      </c>
      <c r="E23" s="21">
        <v>20</v>
      </c>
      <c r="F23" t="s">
        <v>16</v>
      </c>
    </row>
    <row r="24" spans="1:6" x14ac:dyDescent="0.3">
      <c r="A24" s="59"/>
      <c r="B24" s="62"/>
      <c r="C24" t="s">
        <v>22</v>
      </c>
      <c r="D24" t="s">
        <v>46</v>
      </c>
      <c r="E24" s="47">
        <v>1.0000000000000001E-5</v>
      </c>
      <c r="F24" s="12" t="s">
        <v>119</v>
      </c>
    </row>
    <row r="25" spans="1:6" x14ac:dyDescent="0.3">
      <c r="A25" s="59"/>
      <c r="B25" s="62"/>
      <c r="C25" t="s">
        <v>47</v>
      </c>
      <c r="D25" t="s">
        <v>49</v>
      </c>
      <c r="E25" s="7">
        <v>0.83299999999999996</v>
      </c>
      <c r="F25" t="s">
        <v>24</v>
      </c>
    </row>
    <row r="26" spans="1:6" x14ac:dyDescent="0.3">
      <c r="A26" s="59"/>
      <c r="B26" s="62"/>
      <c r="C26" t="s">
        <v>48</v>
      </c>
      <c r="D26" t="s">
        <v>50</v>
      </c>
      <c r="E26" s="7">
        <v>0.83299999999999996</v>
      </c>
      <c r="F26" t="s">
        <v>24</v>
      </c>
    </row>
    <row r="27" spans="1:6" x14ac:dyDescent="0.3">
      <c r="A27" s="59"/>
      <c r="B27" s="62"/>
      <c r="C27" t="s">
        <v>17</v>
      </c>
      <c r="D27" t="s">
        <v>43</v>
      </c>
      <c r="E27" s="7">
        <v>0.05</v>
      </c>
      <c r="F27" t="s">
        <v>24</v>
      </c>
    </row>
    <row r="28" spans="1:6" x14ac:dyDescent="0.3">
      <c r="A28" s="59"/>
      <c r="B28" s="62"/>
      <c r="C28" t="s">
        <v>114</v>
      </c>
      <c r="D28" t="s">
        <v>51</v>
      </c>
      <c r="E28" s="7">
        <v>0</v>
      </c>
      <c r="F28" t="s">
        <v>120</v>
      </c>
    </row>
    <row r="29" spans="1:6" x14ac:dyDescent="0.3">
      <c r="A29" s="59"/>
      <c r="B29" s="63" t="s">
        <v>256</v>
      </c>
      <c r="C29" s="4" t="s">
        <v>117</v>
      </c>
      <c r="D29" s="4" t="s">
        <v>74</v>
      </c>
      <c r="E29" s="9">
        <v>1.6999999999999999E-3</v>
      </c>
      <c r="F29" s="4" t="s">
        <v>121</v>
      </c>
    </row>
    <row r="30" spans="1:6" x14ac:dyDescent="0.3">
      <c r="A30" s="59"/>
      <c r="B30" s="66"/>
      <c r="C30" t="s">
        <v>23</v>
      </c>
      <c r="D30" t="s">
        <v>67</v>
      </c>
      <c r="E30" s="13">
        <f>E31*4</f>
        <v>424</v>
      </c>
      <c r="F30" t="s">
        <v>14</v>
      </c>
    </row>
    <row r="31" spans="1:6" x14ac:dyDescent="0.3">
      <c r="A31" s="59"/>
      <c r="B31" s="66"/>
      <c r="C31" t="s">
        <v>18</v>
      </c>
      <c r="D31" t="s">
        <v>68</v>
      </c>
      <c r="E31" s="13">
        <v>106</v>
      </c>
      <c r="F31" t="s">
        <v>21</v>
      </c>
    </row>
    <row r="32" spans="1:6" x14ac:dyDescent="0.3">
      <c r="A32" s="59"/>
      <c r="B32" s="66"/>
      <c r="C32" t="s">
        <v>19</v>
      </c>
      <c r="D32" t="s">
        <v>69</v>
      </c>
      <c r="E32" s="7">
        <v>2.5000000000000001E-2</v>
      </c>
      <c r="F32" t="s">
        <v>78</v>
      </c>
    </row>
    <row r="33" spans="1:6" x14ac:dyDescent="0.3">
      <c r="A33" s="59"/>
      <c r="B33" s="66"/>
      <c r="C33" t="s">
        <v>47</v>
      </c>
      <c r="D33" t="s">
        <v>71</v>
      </c>
      <c r="E33" s="7">
        <v>0.93500000000000005</v>
      </c>
      <c r="F33" t="s">
        <v>24</v>
      </c>
    </row>
    <row r="34" spans="1:6" x14ac:dyDescent="0.3">
      <c r="A34" s="59"/>
      <c r="B34" s="66"/>
      <c r="C34" t="s">
        <v>48</v>
      </c>
      <c r="D34" t="s">
        <v>72</v>
      </c>
      <c r="E34" s="7">
        <v>0.93500000000000005</v>
      </c>
      <c r="F34" t="s">
        <v>24</v>
      </c>
    </row>
    <row r="35" spans="1:6" x14ac:dyDescent="0.3">
      <c r="A35" s="59"/>
      <c r="B35" s="66"/>
      <c r="C35" t="s">
        <v>115</v>
      </c>
      <c r="D35" t="s">
        <v>70</v>
      </c>
      <c r="E35" s="13">
        <v>0.25</v>
      </c>
      <c r="F35" t="s">
        <v>116</v>
      </c>
    </row>
    <row r="36" spans="1:6" x14ac:dyDescent="0.3">
      <c r="A36" s="59"/>
      <c r="B36" s="66"/>
      <c r="C36" t="s">
        <v>114</v>
      </c>
      <c r="D36" t="s">
        <v>73</v>
      </c>
      <c r="E36" s="7">
        <v>0</v>
      </c>
      <c r="F36" t="s">
        <v>120</v>
      </c>
    </row>
    <row r="37" spans="1:6" x14ac:dyDescent="0.3">
      <c r="A37" s="59"/>
      <c r="B37" s="66"/>
      <c r="C37" t="s">
        <v>15</v>
      </c>
      <c r="D37" t="s">
        <v>66</v>
      </c>
      <c r="E37" s="21">
        <v>15</v>
      </c>
      <c r="F37" t="s">
        <v>16</v>
      </c>
    </row>
    <row r="38" spans="1:6" ht="15" thickBot="1" x14ac:dyDescent="0.35">
      <c r="A38" s="60"/>
      <c r="B38" s="67"/>
      <c r="C38" s="14" t="s">
        <v>17</v>
      </c>
      <c r="D38" s="14" t="s">
        <v>65</v>
      </c>
      <c r="E38" s="15">
        <v>7.0000000000000007E-2</v>
      </c>
      <c r="F38" s="14" t="s">
        <v>24</v>
      </c>
    </row>
    <row r="39" spans="1:6" x14ac:dyDescent="0.3">
      <c r="A39" s="58" t="s">
        <v>86</v>
      </c>
      <c r="B39" s="48" t="s">
        <v>87</v>
      </c>
      <c r="C39" s="49" t="s">
        <v>88</v>
      </c>
      <c r="D39" s="49" t="s">
        <v>89</v>
      </c>
      <c r="E39" s="50">
        <v>0.1699</v>
      </c>
      <c r="F39" s="49" t="s">
        <v>21</v>
      </c>
    </row>
    <row r="40" spans="1:6" x14ac:dyDescent="0.3">
      <c r="A40" s="59"/>
      <c r="B40" s="55" t="s">
        <v>295</v>
      </c>
      <c r="C40" s="56" t="s">
        <v>296</v>
      </c>
      <c r="D40" s="56" t="s">
        <v>297</v>
      </c>
      <c r="E40" s="57">
        <v>0.2</v>
      </c>
      <c r="F40" s="56" t="s">
        <v>269</v>
      </c>
    </row>
    <row r="41" spans="1:6" x14ac:dyDescent="0.3">
      <c r="A41" s="59"/>
      <c r="B41" s="63" t="s">
        <v>6</v>
      </c>
      <c r="C41" s="4" t="s">
        <v>10</v>
      </c>
      <c r="D41" s="4" t="s">
        <v>58</v>
      </c>
      <c r="E41" s="9">
        <v>0.99</v>
      </c>
      <c r="F41" s="4" t="s">
        <v>11</v>
      </c>
    </row>
    <row r="42" spans="1:6" x14ac:dyDescent="0.3">
      <c r="A42" s="59"/>
      <c r="B42" s="62"/>
      <c r="C42" t="s">
        <v>12</v>
      </c>
      <c r="D42" t="s">
        <v>55</v>
      </c>
      <c r="E42" s="24">
        <v>1100</v>
      </c>
      <c r="F42" t="s">
        <v>14</v>
      </c>
    </row>
    <row r="43" spans="1:6" x14ac:dyDescent="0.3">
      <c r="A43" s="59"/>
      <c r="B43" s="62"/>
      <c r="C43" t="s">
        <v>19</v>
      </c>
      <c r="D43" t="s">
        <v>56</v>
      </c>
      <c r="E43" s="24">
        <v>17.84</v>
      </c>
      <c r="F43" t="s">
        <v>118</v>
      </c>
    </row>
    <row r="44" spans="1:6" x14ac:dyDescent="0.3">
      <c r="A44" s="59"/>
      <c r="B44" s="62"/>
      <c r="C44" t="s">
        <v>20</v>
      </c>
      <c r="D44" t="s">
        <v>57</v>
      </c>
      <c r="E44" s="13">
        <v>0</v>
      </c>
      <c r="F44" t="s">
        <v>21</v>
      </c>
    </row>
    <row r="45" spans="1:6" x14ac:dyDescent="0.3">
      <c r="A45" s="59"/>
      <c r="B45" s="62"/>
      <c r="C45" t="s">
        <v>15</v>
      </c>
      <c r="D45" t="s">
        <v>54</v>
      </c>
      <c r="E45" s="21">
        <v>25</v>
      </c>
      <c r="F45" t="s">
        <v>16</v>
      </c>
    </row>
    <row r="46" spans="1:6" x14ac:dyDescent="0.3">
      <c r="A46" s="59"/>
      <c r="B46" s="62"/>
      <c r="C46" t="s">
        <v>82</v>
      </c>
      <c r="D46" t="s">
        <v>81</v>
      </c>
      <c r="E46" s="13">
        <v>1000000</v>
      </c>
      <c r="F46" t="s">
        <v>80</v>
      </c>
    </row>
    <row r="47" spans="1:6" x14ac:dyDescent="0.3">
      <c r="A47" s="59"/>
      <c r="B47" s="64"/>
      <c r="C47" s="5" t="s">
        <v>17</v>
      </c>
      <c r="D47" s="5" t="s">
        <v>53</v>
      </c>
      <c r="E47" s="10">
        <v>5.3999999999999999E-2</v>
      </c>
      <c r="F47" s="5" t="s">
        <v>24</v>
      </c>
    </row>
    <row r="48" spans="1:6" x14ac:dyDescent="0.3">
      <c r="A48" s="59"/>
      <c r="B48" s="63" t="s">
        <v>7</v>
      </c>
      <c r="C48" s="4" t="s">
        <v>10</v>
      </c>
      <c r="D48" s="4" t="s">
        <v>59</v>
      </c>
      <c r="E48" s="9">
        <v>0.997</v>
      </c>
      <c r="F48" s="4" t="s">
        <v>24</v>
      </c>
    </row>
    <row r="49" spans="1:6" x14ac:dyDescent="0.3">
      <c r="A49" s="59"/>
      <c r="B49" s="62"/>
      <c r="C49" t="s">
        <v>12</v>
      </c>
      <c r="D49" t="s">
        <v>60</v>
      </c>
      <c r="E49" s="24">
        <v>1080</v>
      </c>
      <c r="F49" t="s">
        <v>14</v>
      </c>
    </row>
    <row r="50" spans="1:6" x14ac:dyDescent="0.3">
      <c r="A50" s="59"/>
      <c r="B50" s="62"/>
      <c r="C50" t="s">
        <v>19</v>
      </c>
      <c r="D50" t="s">
        <v>64</v>
      </c>
      <c r="E50" s="44">
        <v>12.68</v>
      </c>
      <c r="F50" s="25" t="s">
        <v>118</v>
      </c>
    </row>
    <row r="51" spans="1:6" x14ac:dyDescent="0.3">
      <c r="A51" s="59"/>
      <c r="B51" s="62"/>
      <c r="C51" t="s">
        <v>20</v>
      </c>
      <c r="D51" t="s">
        <v>61</v>
      </c>
      <c r="E51" s="46">
        <v>5.0000000000000001E-3</v>
      </c>
      <c r="F51" t="s">
        <v>21</v>
      </c>
    </row>
    <row r="52" spans="1:6" x14ac:dyDescent="0.3">
      <c r="A52" s="59"/>
      <c r="B52" s="62"/>
      <c r="C52" t="s">
        <v>15</v>
      </c>
      <c r="D52" t="s">
        <v>62</v>
      </c>
      <c r="E52" s="21">
        <v>25</v>
      </c>
      <c r="F52" t="s">
        <v>16</v>
      </c>
    </row>
    <row r="53" spans="1:6" x14ac:dyDescent="0.3">
      <c r="A53" s="59"/>
      <c r="B53" s="62"/>
      <c r="C53" t="s">
        <v>82</v>
      </c>
      <c r="D53" t="s">
        <v>79</v>
      </c>
      <c r="E53" s="26">
        <v>1000000</v>
      </c>
      <c r="F53" t="s">
        <v>80</v>
      </c>
    </row>
    <row r="54" spans="1:6" x14ac:dyDescent="0.3">
      <c r="A54" s="60"/>
      <c r="B54" s="65"/>
      <c r="C54" s="14" t="s">
        <v>17</v>
      </c>
      <c r="D54" s="14" t="s">
        <v>63</v>
      </c>
      <c r="E54" s="15">
        <v>5.8000000000000003E-2</v>
      </c>
      <c r="F54" s="14" t="s">
        <v>24</v>
      </c>
    </row>
    <row r="55" spans="1:6" x14ac:dyDescent="0.3">
      <c r="A55" s="58" t="s">
        <v>90</v>
      </c>
      <c r="B55" s="16" t="s">
        <v>87</v>
      </c>
      <c r="C55" s="2" t="s">
        <v>91</v>
      </c>
      <c r="D55" s="2" t="s">
        <v>92</v>
      </c>
      <c r="E55" s="3">
        <v>0</v>
      </c>
      <c r="F55" s="2" t="s">
        <v>21</v>
      </c>
    </row>
    <row r="56" spans="1:6" x14ac:dyDescent="0.3">
      <c r="A56" s="59"/>
      <c r="B56" s="17" t="s">
        <v>93</v>
      </c>
      <c r="C56" s="18" t="s">
        <v>95</v>
      </c>
      <c r="D56" s="18" t="s">
        <v>97</v>
      </c>
      <c r="E56" s="19">
        <v>-1.5</v>
      </c>
      <c r="F56" s="18" t="s">
        <v>99</v>
      </c>
    </row>
    <row r="57" spans="1:6" x14ac:dyDescent="0.3">
      <c r="A57" s="60"/>
      <c r="B57" s="1" t="s">
        <v>94</v>
      </c>
      <c r="C57" s="14" t="s">
        <v>96</v>
      </c>
      <c r="D57" s="14" t="s">
        <v>98</v>
      </c>
      <c r="E57" s="15">
        <v>-0.8</v>
      </c>
      <c r="F57" s="14" t="s">
        <v>100</v>
      </c>
    </row>
  </sheetData>
  <mergeCells count="11">
    <mergeCell ref="A2:A20"/>
    <mergeCell ref="A21:A38"/>
    <mergeCell ref="A39:A54"/>
    <mergeCell ref="A55:A57"/>
    <mergeCell ref="B21:B28"/>
    <mergeCell ref="B41:B47"/>
    <mergeCell ref="B48:B54"/>
    <mergeCell ref="B29:B38"/>
    <mergeCell ref="B2:B7"/>
    <mergeCell ref="B8:B15"/>
    <mergeCell ref="B16:B20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15"/>
  <sheetViews>
    <sheetView topLeftCell="A56" zoomScale="85" zoomScaleNormal="85" workbookViewId="0">
      <selection activeCell="C82" sqref="A82:XFD82"/>
    </sheetView>
  </sheetViews>
  <sheetFormatPr baseColWidth="10" defaultRowHeight="14.4" x14ac:dyDescent="0.3"/>
  <cols>
    <col min="1" max="1" width="14.5546875" style="12" customWidth="1"/>
    <col min="2" max="2" width="30.33203125" style="12" bestFit="1" customWidth="1"/>
    <col min="3" max="3" width="37.109375" style="12" bestFit="1" customWidth="1"/>
    <col min="4" max="4" width="50.77734375" style="12" customWidth="1"/>
    <col min="5" max="5" width="46.109375" style="12" customWidth="1"/>
    <col min="6" max="6" width="37.5546875" style="12" customWidth="1"/>
    <col min="7" max="16384" width="11.5546875" style="12"/>
  </cols>
  <sheetData>
    <row r="1" spans="1:6" ht="15" thickBot="1" x14ac:dyDescent="0.35">
      <c r="A1" s="28" t="s">
        <v>83</v>
      </c>
      <c r="B1" s="29" t="s">
        <v>2</v>
      </c>
      <c r="C1" s="29" t="s">
        <v>26</v>
      </c>
      <c r="D1" s="29" t="s">
        <v>25</v>
      </c>
      <c r="E1" s="30" t="s">
        <v>9</v>
      </c>
      <c r="F1" s="29" t="s">
        <v>1</v>
      </c>
    </row>
    <row r="2" spans="1:6" x14ac:dyDescent="0.3">
      <c r="A2" s="78" t="s">
        <v>84</v>
      </c>
      <c r="B2" s="81" t="s">
        <v>0</v>
      </c>
      <c r="C2" s="27" t="s">
        <v>122</v>
      </c>
      <c r="D2" s="27" t="s">
        <v>123</v>
      </c>
      <c r="E2" s="31"/>
      <c r="F2" s="27" t="s">
        <v>124</v>
      </c>
    </row>
    <row r="3" spans="1:6" x14ac:dyDescent="0.3">
      <c r="A3" s="79"/>
      <c r="B3" s="82"/>
      <c r="C3" s="12" t="s">
        <v>135</v>
      </c>
      <c r="D3" s="12" t="s">
        <v>143</v>
      </c>
      <c r="E3" s="32"/>
      <c r="F3" s="12" t="s">
        <v>80</v>
      </c>
    </row>
    <row r="4" spans="1:6" x14ac:dyDescent="0.3">
      <c r="A4" s="79"/>
      <c r="B4" s="82"/>
      <c r="C4" s="12" t="s">
        <v>102</v>
      </c>
      <c r="D4" s="12" t="s">
        <v>152</v>
      </c>
      <c r="E4" s="33"/>
      <c r="F4" s="12" t="s">
        <v>147</v>
      </c>
    </row>
    <row r="5" spans="1:6" x14ac:dyDescent="0.3">
      <c r="A5" s="79"/>
      <c r="B5" s="82"/>
      <c r="C5" s="12" t="s">
        <v>171</v>
      </c>
      <c r="D5" s="12" t="s">
        <v>170</v>
      </c>
      <c r="E5" s="34"/>
      <c r="F5" s="12" t="s">
        <v>163</v>
      </c>
    </row>
    <row r="6" spans="1:6" x14ac:dyDescent="0.3">
      <c r="A6" s="79"/>
      <c r="B6" s="82"/>
      <c r="C6" s="12" t="s">
        <v>183</v>
      </c>
      <c r="D6" s="12" t="s">
        <v>185</v>
      </c>
      <c r="E6" s="35"/>
      <c r="F6" s="12" t="s">
        <v>182</v>
      </c>
    </row>
    <row r="7" spans="1:6" x14ac:dyDescent="0.3">
      <c r="A7" s="79"/>
      <c r="B7" s="82"/>
      <c r="C7" s="12" t="s">
        <v>201</v>
      </c>
      <c r="D7" s="12" t="s">
        <v>204</v>
      </c>
      <c r="E7" s="35"/>
      <c r="F7" s="12" t="s">
        <v>194</v>
      </c>
    </row>
    <row r="8" spans="1:6" x14ac:dyDescent="0.3">
      <c r="A8" s="79"/>
      <c r="B8" s="82"/>
      <c r="C8" s="12" t="s">
        <v>249</v>
      </c>
      <c r="D8" s="12" t="s">
        <v>248</v>
      </c>
      <c r="E8" s="35"/>
      <c r="F8" s="12" t="s">
        <v>194</v>
      </c>
    </row>
    <row r="9" spans="1:6" x14ac:dyDescent="0.3">
      <c r="A9" s="79"/>
      <c r="B9" s="82"/>
      <c r="C9" s="12" t="s">
        <v>215</v>
      </c>
      <c r="D9" s="12" t="s">
        <v>214</v>
      </c>
      <c r="E9" s="35"/>
      <c r="F9" s="12" t="s">
        <v>182</v>
      </c>
    </row>
    <row r="10" spans="1:6" x14ac:dyDescent="0.3">
      <c r="A10" s="79"/>
      <c r="B10" s="82"/>
      <c r="C10" s="12" t="s">
        <v>239</v>
      </c>
      <c r="D10" s="12" t="s">
        <v>247</v>
      </c>
      <c r="E10" s="35"/>
      <c r="F10" s="12" t="s">
        <v>194</v>
      </c>
    </row>
    <row r="11" spans="1:6" x14ac:dyDescent="0.3">
      <c r="A11" s="79"/>
      <c r="B11" s="82"/>
      <c r="E11" s="34"/>
    </row>
    <row r="12" spans="1:6" x14ac:dyDescent="0.3">
      <c r="A12" s="79"/>
      <c r="B12" s="84" t="s">
        <v>3</v>
      </c>
      <c r="C12" s="36" t="s">
        <v>122</v>
      </c>
      <c r="D12" s="36" t="s">
        <v>131</v>
      </c>
      <c r="E12" s="37"/>
      <c r="F12" s="36" t="s">
        <v>132</v>
      </c>
    </row>
    <row r="13" spans="1:6" x14ac:dyDescent="0.3">
      <c r="A13" s="79"/>
      <c r="B13" s="82"/>
      <c r="C13" s="12" t="s">
        <v>176</v>
      </c>
      <c r="D13" s="12" t="s">
        <v>175</v>
      </c>
      <c r="E13" s="32"/>
      <c r="F13" s="12" t="s">
        <v>165</v>
      </c>
    </row>
    <row r="14" spans="1:6" x14ac:dyDescent="0.3">
      <c r="A14" s="79"/>
      <c r="B14" s="82"/>
      <c r="C14" s="12" t="s">
        <v>179</v>
      </c>
      <c r="D14" s="12" t="s">
        <v>177</v>
      </c>
      <c r="E14" s="32"/>
      <c r="F14" s="32" t="s">
        <v>163</v>
      </c>
    </row>
    <row r="15" spans="1:6" x14ac:dyDescent="0.3">
      <c r="A15" s="79"/>
      <c r="B15" s="82"/>
      <c r="C15" s="12" t="s">
        <v>180</v>
      </c>
      <c r="D15" s="12" t="s">
        <v>178</v>
      </c>
      <c r="E15" s="34"/>
      <c r="F15" s="12" t="s">
        <v>174</v>
      </c>
    </row>
    <row r="16" spans="1:6" x14ac:dyDescent="0.3">
      <c r="A16" s="79"/>
      <c r="B16" s="82"/>
      <c r="C16" s="12" t="s">
        <v>102</v>
      </c>
      <c r="D16" s="12" t="s">
        <v>181</v>
      </c>
      <c r="E16" s="32"/>
      <c r="F16" s="12" t="s">
        <v>147</v>
      </c>
    </row>
    <row r="17" spans="1:6" x14ac:dyDescent="0.3">
      <c r="A17" s="79"/>
      <c r="B17" s="82"/>
      <c r="C17" s="12" t="s">
        <v>183</v>
      </c>
      <c r="D17" s="12" t="s">
        <v>190</v>
      </c>
      <c r="E17" s="32"/>
      <c r="F17" s="12" t="s">
        <v>182</v>
      </c>
    </row>
    <row r="18" spans="1:6" x14ac:dyDescent="0.3">
      <c r="A18" s="79"/>
      <c r="B18" s="82"/>
      <c r="C18" s="12" t="s">
        <v>201</v>
      </c>
      <c r="D18" s="12" t="s">
        <v>207</v>
      </c>
      <c r="E18" s="35"/>
      <c r="F18" s="12" t="s">
        <v>194</v>
      </c>
    </row>
    <row r="19" spans="1:6" x14ac:dyDescent="0.3">
      <c r="A19" s="79"/>
      <c r="B19" s="82"/>
      <c r="C19" s="12" t="s">
        <v>249</v>
      </c>
      <c r="D19" s="12" t="s">
        <v>254</v>
      </c>
      <c r="E19" s="35"/>
      <c r="F19" s="12" t="s">
        <v>194</v>
      </c>
    </row>
    <row r="20" spans="1:6" x14ac:dyDescent="0.3">
      <c r="A20" s="79"/>
      <c r="B20" s="82"/>
      <c r="C20" s="12" t="s">
        <v>215</v>
      </c>
      <c r="D20" s="12" t="s">
        <v>221</v>
      </c>
      <c r="E20" s="35"/>
      <c r="F20" s="12" t="s">
        <v>182</v>
      </c>
    </row>
    <row r="21" spans="1:6" x14ac:dyDescent="0.3">
      <c r="A21" s="79"/>
      <c r="B21" s="82"/>
      <c r="C21" s="12" t="s">
        <v>239</v>
      </c>
      <c r="D21" s="12" t="s">
        <v>246</v>
      </c>
      <c r="E21" s="35"/>
      <c r="F21" s="12" t="s">
        <v>194</v>
      </c>
    </row>
    <row r="22" spans="1:6" x14ac:dyDescent="0.3">
      <c r="A22" s="79"/>
      <c r="B22" s="83"/>
      <c r="C22" s="38"/>
      <c r="D22" s="38"/>
      <c r="E22" s="39"/>
      <c r="F22" s="38"/>
    </row>
    <row r="23" spans="1:6" x14ac:dyDescent="0.3">
      <c r="A23" s="79"/>
      <c r="B23" s="75" t="s">
        <v>4</v>
      </c>
      <c r="C23" s="12" t="s">
        <v>122</v>
      </c>
      <c r="D23" s="12" t="s">
        <v>130</v>
      </c>
      <c r="E23" s="32"/>
      <c r="F23" s="12" t="s">
        <v>132</v>
      </c>
    </row>
    <row r="24" spans="1:6" x14ac:dyDescent="0.3">
      <c r="A24" s="79"/>
      <c r="B24" s="75"/>
      <c r="C24" s="12" t="s">
        <v>135</v>
      </c>
      <c r="D24" s="12" t="s">
        <v>144</v>
      </c>
      <c r="E24" s="32"/>
      <c r="F24" s="12" t="s">
        <v>237</v>
      </c>
    </row>
    <row r="25" spans="1:6" x14ac:dyDescent="0.3">
      <c r="A25" s="79"/>
      <c r="B25" s="75"/>
      <c r="C25" s="12" t="s">
        <v>102</v>
      </c>
      <c r="D25" s="12" t="s">
        <v>153</v>
      </c>
      <c r="E25" s="34"/>
      <c r="F25" s="12" t="s">
        <v>147</v>
      </c>
    </row>
    <row r="26" spans="1:6" x14ac:dyDescent="0.3">
      <c r="A26" s="79"/>
      <c r="B26" s="75"/>
      <c r="C26" s="12" t="s">
        <v>173</v>
      </c>
      <c r="D26" s="12" t="s">
        <v>172</v>
      </c>
      <c r="E26" s="35"/>
      <c r="F26" s="12" t="s">
        <v>174</v>
      </c>
    </row>
    <row r="27" spans="1:6" x14ac:dyDescent="0.3">
      <c r="A27" s="79"/>
      <c r="B27" s="75"/>
      <c r="C27" s="12" t="s">
        <v>183</v>
      </c>
      <c r="D27" s="12" t="s">
        <v>188</v>
      </c>
      <c r="E27" s="35"/>
      <c r="F27" s="12" t="s">
        <v>182</v>
      </c>
    </row>
    <row r="28" spans="1:6" x14ac:dyDescent="0.3">
      <c r="A28" s="79"/>
      <c r="B28" s="75"/>
      <c r="C28" s="12" t="s">
        <v>201</v>
      </c>
      <c r="D28" s="12" t="s">
        <v>205</v>
      </c>
      <c r="E28" s="35"/>
      <c r="F28" s="12" t="s">
        <v>194</v>
      </c>
    </row>
    <row r="29" spans="1:6" x14ac:dyDescent="0.3">
      <c r="A29" s="79"/>
      <c r="B29" s="75"/>
      <c r="C29" s="12" t="s">
        <v>249</v>
      </c>
      <c r="D29" s="12" t="s">
        <v>252</v>
      </c>
      <c r="E29" s="35"/>
      <c r="F29" s="12" t="s">
        <v>194</v>
      </c>
    </row>
    <row r="30" spans="1:6" x14ac:dyDescent="0.3">
      <c r="A30" s="79"/>
      <c r="B30" s="75"/>
      <c r="C30" s="12" t="s">
        <v>215</v>
      </c>
      <c r="D30" s="12" t="s">
        <v>219</v>
      </c>
      <c r="E30" s="34"/>
      <c r="F30" s="12" t="s">
        <v>182</v>
      </c>
    </row>
    <row r="31" spans="1:6" x14ac:dyDescent="0.3">
      <c r="A31" s="79"/>
      <c r="B31" s="75"/>
      <c r="C31" s="12" t="s">
        <v>239</v>
      </c>
      <c r="D31" s="12" t="s">
        <v>245</v>
      </c>
      <c r="E31" s="34"/>
      <c r="F31" s="12" t="s">
        <v>194</v>
      </c>
    </row>
    <row r="32" spans="1:6" ht="15" thickBot="1" x14ac:dyDescent="0.35">
      <c r="A32" s="79"/>
      <c r="B32" s="75"/>
      <c r="E32" s="34"/>
    </row>
    <row r="33" spans="1:6" x14ac:dyDescent="0.3">
      <c r="A33" s="78" t="s">
        <v>85</v>
      </c>
      <c r="B33" s="85" t="s">
        <v>5</v>
      </c>
      <c r="C33" s="27" t="s">
        <v>141</v>
      </c>
      <c r="D33" s="27" t="s">
        <v>129</v>
      </c>
      <c r="E33" s="40"/>
      <c r="F33" s="27" t="s">
        <v>303</v>
      </c>
    </row>
    <row r="34" spans="1:6" x14ac:dyDescent="0.3">
      <c r="A34" s="79"/>
      <c r="B34" s="75"/>
      <c r="C34" s="12" t="s">
        <v>139</v>
      </c>
      <c r="D34" s="12" t="s">
        <v>138</v>
      </c>
      <c r="E34" s="34"/>
      <c r="F34" s="12" t="s">
        <v>302</v>
      </c>
    </row>
    <row r="35" spans="1:6" x14ac:dyDescent="0.3">
      <c r="A35" s="79"/>
      <c r="B35" s="75"/>
      <c r="C35" s="12" t="s">
        <v>168</v>
      </c>
      <c r="D35" s="12" t="s">
        <v>166</v>
      </c>
      <c r="E35" s="35"/>
      <c r="F35" s="12" t="s">
        <v>163</v>
      </c>
    </row>
    <row r="36" spans="1:6" x14ac:dyDescent="0.3">
      <c r="A36" s="79"/>
      <c r="B36" s="75"/>
      <c r="C36" s="12" t="s">
        <v>169</v>
      </c>
      <c r="D36" s="12" t="s">
        <v>167</v>
      </c>
      <c r="E36" s="34"/>
      <c r="F36" s="12" t="s">
        <v>163</v>
      </c>
    </row>
    <row r="37" spans="1:6" x14ac:dyDescent="0.3">
      <c r="A37" s="79"/>
      <c r="B37" s="75"/>
      <c r="C37" s="12" t="s">
        <v>183</v>
      </c>
      <c r="D37" s="12" t="s">
        <v>189</v>
      </c>
      <c r="E37" s="34"/>
      <c r="F37" s="12" t="s">
        <v>182</v>
      </c>
    </row>
    <row r="38" spans="1:6" x14ac:dyDescent="0.3">
      <c r="A38" s="79"/>
      <c r="B38" s="75"/>
      <c r="C38" s="12" t="s">
        <v>201</v>
      </c>
      <c r="D38" s="12" t="s">
        <v>206</v>
      </c>
      <c r="E38" s="34"/>
      <c r="F38" s="12" t="s">
        <v>194</v>
      </c>
    </row>
    <row r="39" spans="1:6" x14ac:dyDescent="0.3">
      <c r="A39" s="79"/>
      <c r="B39" s="75"/>
      <c r="C39" s="12" t="s">
        <v>249</v>
      </c>
      <c r="D39" s="12" t="s">
        <v>253</v>
      </c>
      <c r="E39" s="34"/>
      <c r="F39" s="12" t="s">
        <v>194</v>
      </c>
    </row>
    <row r="40" spans="1:6" x14ac:dyDescent="0.3">
      <c r="A40" s="79"/>
      <c r="B40" s="75"/>
      <c r="C40" s="12" t="s">
        <v>215</v>
      </c>
      <c r="D40" s="12" t="s">
        <v>220</v>
      </c>
      <c r="E40" s="34"/>
      <c r="F40" s="12" t="s">
        <v>182</v>
      </c>
    </row>
    <row r="41" spans="1:6" x14ac:dyDescent="0.3">
      <c r="A41" s="79"/>
      <c r="B41" s="75"/>
      <c r="C41" s="12" t="s">
        <v>239</v>
      </c>
      <c r="D41" s="12" t="s">
        <v>244</v>
      </c>
      <c r="E41" s="34"/>
      <c r="F41" s="12" t="s">
        <v>194</v>
      </c>
    </row>
    <row r="42" spans="1:6" x14ac:dyDescent="0.3">
      <c r="A42" s="79"/>
      <c r="B42" s="75"/>
      <c r="E42" s="34"/>
    </row>
    <row r="43" spans="1:6" x14ac:dyDescent="0.3">
      <c r="A43" s="79"/>
      <c r="B43" s="74" t="s">
        <v>8</v>
      </c>
      <c r="C43" s="36" t="s">
        <v>122</v>
      </c>
      <c r="D43" s="36" t="s">
        <v>126</v>
      </c>
      <c r="E43" s="41"/>
      <c r="F43" s="36" t="s">
        <v>124</v>
      </c>
    </row>
    <row r="44" spans="1:6" x14ac:dyDescent="0.3">
      <c r="A44" s="79"/>
      <c r="B44" s="75"/>
      <c r="C44" s="12" t="s">
        <v>141</v>
      </c>
      <c r="D44" s="12" t="s">
        <v>128</v>
      </c>
      <c r="E44" s="34"/>
      <c r="F44" s="12" t="s">
        <v>133</v>
      </c>
    </row>
    <row r="45" spans="1:6" x14ac:dyDescent="0.3">
      <c r="A45" s="79"/>
      <c r="B45" s="82"/>
      <c r="C45" s="12" t="s">
        <v>139</v>
      </c>
      <c r="D45" s="12" t="s">
        <v>140</v>
      </c>
      <c r="E45" s="32"/>
      <c r="F45" s="12" t="s">
        <v>142</v>
      </c>
    </row>
    <row r="46" spans="1:6" x14ac:dyDescent="0.3">
      <c r="A46" s="79"/>
      <c r="B46" s="82"/>
      <c r="C46" s="12" t="s">
        <v>135</v>
      </c>
      <c r="D46" s="12" t="s">
        <v>236</v>
      </c>
      <c r="E46" s="32"/>
      <c r="F46" s="12" t="s">
        <v>80</v>
      </c>
    </row>
    <row r="47" spans="1:6" x14ac:dyDescent="0.3">
      <c r="A47" s="79"/>
      <c r="B47" s="82"/>
      <c r="C47" s="12" t="s">
        <v>156</v>
      </c>
      <c r="D47" s="12" t="s">
        <v>154</v>
      </c>
      <c r="E47" s="32"/>
      <c r="F47" s="12" t="s">
        <v>147</v>
      </c>
    </row>
    <row r="48" spans="1:6" x14ac:dyDescent="0.3">
      <c r="A48" s="79"/>
      <c r="B48" s="82"/>
      <c r="C48" s="12" t="s">
        <v>157</v>
      </c>
      <c r="D48" s="12" t="s">
        <v>155</v>
      </c>
      <c r="E48" s="34"/>
      <c r="F48" s="12" t="s">
        <v>147</v>
      </c>
    </row>
    <row r="49" spans="1:6" x14ac:dyDescent="0.3">
      <c r="A49" s="79"/>
      <c r="B49" s="82"/>
      <c r="C49" s="12" t="s">
        <v>183</v>
      </c>
      <c r="D49" s="12" t="s">
        <v>187</v>
      </c>
      <c r="E49" s="32"/>
      <c r="F49" s="12" t="s">
        <v>182</v>
      </c>
    </row>
    <row r="50" spans="1:6" x14ac:dyDescent="0.3">
      <c r="A50" s="79"/>
      <c r="B50" s="82"/>
      <c r="C50" s="12" t="s">
        <v>201</v>
      </c>
      <c r="D50" s="12" t="s">
        <v>203</v>
      </c>
      <c r="E50" s="34"/>
      <c r="F50" s="12" t="s">
        <v>194</v>
      </c>
    </row>
    <row r="51" spans="1:6" x14ac:dyDescent="0.3">
      <c r="A51" s="79"/>
      <c r="B51" s="82"/>
      <c r="C51" s="12" t="s">
        <v>249</v>
      </c>
      <c r="D51" s="12" t="s">
        <v>255</v>
      </c>
      <c r="E51" s="34"/>
      <c r="F51" s="12" t="s">
        <v>194</v>
      </c>
    </row>
    <row r="52" spans="1:6" x14ac:dyDescent="0.3">
      <c r="A52" s="79"/>
      <c r="B52" s="82"/>
      <c r="C52" s="12" t="s">
        <v>215</v>
      </c>
      <c r="D52" s="12" t="s">
        <v>218</v>
      </c>
      <c r="E52" s="34"/>
      <c r="F52" s="12" t="s">
        <v>182</v>
      </c>
    </row>
    <row r="53" spans="1:6" x14ac:dyDescent="0.3">
      <c r="A53" s="79"/>
      <c r="B53" s="82"/>
      <c r="C53" s="12" t="s">
        <v>239</v>
      </c>
      <c r="D53" s="12" t="s">
        <v>243</v>
      </c>
      <c r="E53" s="34"/>
      <c r="F53" s="12" t="s">
        <v>194</v>
      </c>
    </row>
    <row r="54" spans="1:6" ht="15" thickBot="1" x14ac:dyDescent="0.35">
      <c r="A54" s="80"/>
      <c r="B54" s="86"/>
      <c r="C54" s="42"/>
      <c r="D54" s="42"/>
      <c r="E54" s="43"/>
      <c r="F54" s="42"/>
    </row>
    <row r="55" spans="1:6" x14ac:dyDescent="0.3">
      <c r="A55" s="78" t="s">
        <v>86</v>
      </c>
      <c r="B55" s="81" t="s">
        <v>87</v>
      </c>
      <c r="C55" s="27" t="s">
        <v>146</v>
      </c>
      <c r="D55" s="27" t="s">
        <v>145</v>
      </c>
      <c r="E55" s="40"/>
      <c r="F55" s="27" t="s">
        <v>147</v>
      </c>
    </row>
    <row r="56" spans="1:6" x14ac:dyDescent="0.3">
      <c r="A56" s="79"/>
      <c r="B56" s="82"/>
      <c r="C56" s="12" t="s">
        <v>199</v>
      </c>
      <c r="D56" s="12" t="s">
        <v>198</v>
      </c>
      <c r="E56" s="32"/>
      <c r="F56" s="12" t="s">
        <v>194</v>
      </c>
    </row>
    <row r="57" spans="1:6" ht="15" thickBot="1" x14ac:dyDescent="0.35">
      <c r="A57" s="79"/>
      <c r="B57" s="83"/>
      <c r="E57" s="32"/>
    </row>
    <row r="58" spans="1:6" x14ac:dyDescent="0.3">
      <c r="A58" s="79"/>
      <c r="B58" s="71" t="s">
        <v>298</v>
      </c>
      <c r="C58" s="51" t="s">
        <v>299</v>
      </c>
      <c r="D58" s="51" t="s">
        <v>300</v>
      </c>
      <c r="E58" s="52"/>
      <c r="F58" s="51" t="s">
        <v>174</v>
      </c>
    </row>
    <row r="59" spans="1:6" x14ac:dyDescent="0.3">
      <c r="A59" s="79"/>
      <c r="B59" s="72"/>
      <c r="C59" s="53" t="s">
        <v>199</v>
      </c>
      <c r="D59" s="53" t="s">
        <v>301</v>
      </c>
      <c r="E59" s="54"/>
      <c r="F59" s="53" t="s">
        <v>194</v>
      </c>
    </row>
    <row r="60" spans="1:6" x14ac:dyDescent="0.3">
      <c r="A60" s="79"/>
      <c r="B60" s="73"/>
      <c r="C60" s="53"/>
      <c r="D60" s="53"/>
      <c r="E60" s="54"/>
      <c r="F60" s="53"/>
    </row>
    <row r="61" spans="1:6" x14ac:dyDescent="0.3">
      <c r="A61" s="79"/>
      <c r="B61" s="74" t="s">
        <v>6</v>
      </c>
      <c r="C61" s="36" t="s">
        <v>122</v>
      </c>
      <c r="D61" s="36" t="s">
        <v>125</v>
      </c>
      <c r="E61" s="41"/>
      <c r="F61" s="36" t="s">
        <v>124</v>
      </c>
    </row>
    <row r="62" spans="1:6" x14ac:dyDescent="0.3">
      <c r="A62" s="79"/>
      <c r="B62" s="75"/>
      <c r="C62" s="12" t="s">
        <v>135</v>
      </c>
      <c r="D62" s="12" t="s">
        <v>137</v>
      </c>
      <c r="E62" s="44"/>
      <c r="F62" s="12" t="s">
        <v>80</v>
      </c>
    </row>
    <row r="63" spans="1:6" x14ac:dyDescent="0.3">
      <c r="A63" s="79"/>
      <c r="B63" s="75"/>
      <c r="C63" s="12" t="s">
        <v>151</v>
      </c>
      <c r="D63" s="12" t="s">
        <v>150</v>
      </c>
      <c r="E63" s="44"/>
      <c r="F63" s="12" t="s">
        <v>147</v>
      </c>
    </row>
    <row r="64" spans="1:6" x14ac:dyDescent="0.3">
      <c r="A64" s="79"/>
      <c r="B64" s="75"/>
      <c r="C64" s="12" t="s">
        <v>183</v>
      </c>
      <c r="D64" s="12" t="s">
        <v>186</v>
      </c>
      <c r="E64" s="32"/>
      <c r="F64" s="12" t="s">
        <v>182</v>
      </c>
    </row>
    <row r="65" spans="1:6" x14ac:dyDescent="0.3">
      <c r="A65" s="79"/>
      <c r="B65" s="75"/>
      <c r="C65" s="12" t="s">
        <v>201</v>
      </c>
      <c r="D65" s="12" t="s">
        <v>202</v>
      </c>
      <c r="E65" s="35"/>
      <c r="F65" s="12" t="s">
        <v>194</v>
      </c>
    </row>
    <row r="66" spans="1:6" x14ac:dyDescent="0.3">
      <c r="A66" s="79"/>
      <c r="B66" s="75"/>
      <c r="C66" s="12" t="s">
        <v>209</v>
      </c>
      <c r="D66" s="12" t="s">
        <v>210</v>
      </c>
      <c r="E66" s="32"/>
      <c r="F66" s="12" t="s">
        <v>194</v>
      </c>
    </row>
    <row r="67" spans="1:6" x14ac:dyDescent="0.3">
      <c r="A67" s="79"/>
      <c r="B67" s="75"/>
      <c r="C67" s="12" t="s">
        <v>249</v>
      </c>
      <c r="D67" s="12" t="s">
        <v>251</v>
      </c>
      <c r="E67" s="32"/>
      <c r="F67" s="12" t="s">
        <v>194</v>
      </c>
    </row>
    <row r="68" spans="1:6" x14ac:dyDescent="0.3">
      <c r="A68" s="79"/>
      <c r="B68" s="75"/>
      <c r="C68" s="12" t="s">
        <v>215</v>
      </c>
      <c r="D68" s="12" t="s">
        <v>217</v>
      </c>
      <c r="E68" s="34"/>
      <c r="F68" s="12" t="s">
        <v>182</v>
      </c>
    </row>
    <row r="69" spans="1:6" x14ac:dyDescent="0.3">
      <c r="A69" s="79"/>
      <c r="B69" s="75"/>
      <c r="C69" s="12" t="s">
        <v>239</v>
      </c>
      <c r="D69" s="12" t="s">
        <v>241</v>
      </c>
      <c r="E69" s="34"/>
      <c r="F69" s="12" t="s">
        <v>194</v>
      </c>
    </row>
    <row r="70" spans="1:6" x14ac:dyDescent="0.3">
      <c r="A70" s="79"/>
      <c r="B70" s="76"/>
    </row>
    <row r="71" spans="1:6" x14ac:dyDescent="0.3">
      <c r="A71" s="79"/>
      <c r="B71" s="74" t="s">
        <v>7</v>
      </c>
      <c r="C71" s="36" t="s">
        <v>122</v>
      </c>
      <c r="D71" s="36" t="s">
        <v>127</v>
      </c>
      <c r="E71" s="41"/>
      <c r="F71" s="36" t="s">
        <v>124</v>
      </c>
    </row>
    <row r="72" spans="1:6" x14ac:dyDescent="0.3">
      <c r="A72" s="79"/>
      <c r="B72" s="75"/>
      <c r="C72" s="12" t="s">
        <v>136</v>
      </c>
      <c r="D72" s="12" t="s">
        <v>134</v>
      </c>
      <c r="E72" s="44"/>
      <c r="F72" s="12" t="s">
        <v>80</v>
      </c>
    </row>
    <row r="73" spans="1:6" x14ac:dyDescent="0.3">
      <c r="A73" s="79"/>
      <c r="B73" s="75"/>
      <c r="C73" s="12" t="s">
        <v>149</v>
      </c>
      <c r="D73" s="12" t="s">
        <v>148</v>
      </c>
      <c r="E73" s="44"/>
      <c r="F73" s="12" t="s">
        <v>147</v>
      </c>
    </row>
    <row r="74" spans="1:6" x14ac:dyDescent="0.3">
      <c r="A74" s="79"/>
      <c r="B74" s="75"/>
      <c r="C74" s="12" t="s">
        <v>183</v>
      </c>
      <c r="D74" s="12" t="s">
        <v>184</v>
      </c>
      <c r="E74" s="44"/>
      <c r="F74" s="12" t="s">
        <v>182</v>
      </c>
    </row>
    <row r="75" spans="1:6" x14ac:dyDescent="0.3">
      <c r="A75" s="79"/>
      <c r="B75" s="75"/>
      <c r="C75" s="12" t="s">
        <v>201</v>
      </c>
      <c r="D75" s="12" t="s">
        <v>200</v>
      </c>
      <c r="E75" s="35"/>
      <c r="F75" s="12" t="s">
        <v>194</v>
      </c>
    </row>
    <row r="76" spans="1:6" x14ac:dyDescent="0.3">
      <c r="A76" s="79"/>
      <c r="B76" s="75"/>
      <c r="C76" s="12" t="s">
        <v>209</v>
      </c>
      <c r="D76" s="12" t="s">
        <v>208</v>
      </c>
      <c r="E76" s="45"/>
      <c r="F76" s="12" t="s">
        <v>194</v>
      </c>
    </row>
    <row r="77" spans="1:6" x14ac:dyDescent="0.3">
      <c r="A77" s="79"/>
      <c r="B77" s="75"/>
      <c r="C77" s="12" t="s">
        <v>249</v>
      </c>
      <c r="D77" s="12" t="s">
        <v>250</v>
      </c>
      <c r="E77" s="45"/>
      <c r="F77" s="12" t="s">
        <v>194</v>
      </c>
    </row>
    <row r="78" spans="1:6" x14ac:dyDescent="0.3">
      <c r="A78" s="79"/>
      <c r="B78" s="75"/>
      <c r="C78" s="12" t="s">
        <v>215</v>
      </c>
      <c r="D78" s="12" t="s">
        <v>216</v>
      </c>
      <c r="E78" s="34"/>
      <c r="F78" s="12" t="s">
        <v>182</v>
      </c>
    </row>
    <row r="79" spans="1:6" x14ac:dyDescent="0.3">
      <c r="A79" s="79"/>
      <c r="B79" s="75"/>
      <c r="C79" s="12" t="s">
        <v>239</v>
      </c>
      <c r="D79" s="12" t="s">
        <v>240</v>
      </c>
      <c r="E79" s="34"/>
      <c r="F79" s="12" t="s">
        <v>194</v>
      </c>
    </row>
    <row r="80" spans="1:6" ht="15" thickBot="1" x14ac:dyDescent="0.35">
      <c r="A80" s="80"/>
      <c r="B80" s="77"/>
    </row>
    <row r="81" spans="1:6" x14ac:dyDescent="0.3">
      <c r="A81" s="78" t="s">
        <v>90</v>
      </c>
      <c r="B81" s="81" t="s">
        <v>87</v>
      </c>
      <c r="C81" s="27" t="s">
        <v>159</v>
      </c>
      <c r="D81" s="27" t="s">
        <v>158</v>
      </c>
      <c r="E81" s="31"/>
      <c r="F81" s="27" t="s">
        <v>147</v>
      </c>
    </row>
    <row r="82" spans="1:6" x14ac:dyDescent="0.3">
      <c r="A82" s="79"/>
      <c r="B82" s="82"/>
      <c r="C82" s="12" t="s">
        <v>195</v>
      </c>
      <c r="D82" s="12" t="s">
        <v>191</v>
      </c>
      <c r="E82" s="34"/>
      <c r="F82" s="12" t="s">
        <v>194</v>
      </c>
    </row>
    <row r="83" spans="1:6" x14ac:dyDescent="0.3">
      <c r="A83" s="79"/>
      <c r="B83" s="83"/>
      <c r="E83" s="34"/>
    </row>
    <row r="84" spans="1:6" x14ac:dyDescent="0.3">
      <c r="A84" s="79"/>
      <c r="B84" s="84" t="s">
        <v>93</v>
      </c>
      <c r="C84" s="36" t="s">
        <v>161</v>
      </c>
      <c r="D84" s="36" t="s">
        <v>160</v>
      </c>
      <c r="E84" s="41"/>
      <c r="F84" s="36" t="s">
        <v>163</v>
      </c>
    </row>
    <row r="85" spans="1:6" x14ac:dyDescent="0.3">
      <c r="A85" s="79"/>
      <c r="B85" s="82"/>
      <c r="C85" s="12" t="s">
        <v>196</v>
      </c>
      <c r="D85" s="12" t="s">
        <v>192</v>
      </c>
      <c r="E85" s="34"/>
      <c r="F85" s="12" t="s">
        <v>194</v>
      </c>
    </row>
    <row r="86" spans="1:6" x14ac:dyDescent="0.3">
      <c r="A86" s="79"/>
      <c r="B86" s="83"/>
      <c r="C86" s="38"/>
      <c r="D86" s="38"/>
      <c r="E86" s="39"/>
      <c r="F86" s="38"/>
    </row>
    <row r="87" spans="1:6" x14ac:dyDescent="0.3">
      <c r="A87" s="79"/>
      <c r="B87" s="84" t="s">
        <v>94</v>
      </c>
      <c r="C87" s="12" t="s">
        <v>162</v>
      </c>
      <c r="D87" s="12" t="s">
        <v>164</v>
      </c>
      <c r="E87" s="34"/>
      <c r="F87" s="12" t="s">
        <v>165</v>
      </c>
    </row>
    <row r="88" spans="1:6" x14ac:dyDescent="0.3">
      <c r="A88" s="79"/>
      <c r="B88" s="82"/>
      <c r="C88" s="12" t="s">
        <v>197</v>
      </c>
      <c r="D88" s="12" t="s">
        <v>193</v>
      </c>
      <c r="E88" s="34"/>
      <c r="F88" s="12" t="s">
        <v>194</v>
      </c>
    </row>
    <row r="89" spans="1:6" ht="15" thickBot="1" x14ac:dyDescent="0.35">
      <c r="A89" s="80"/>
      <c r="B89" s="86"/>
      <c r="C89" s="42"/>
      <c r="D89" s="42"/>
      <c r="E89" s="43"/>
      <c r="F89" s="42"/>
    </row>
    <row r="90" spans="1:6" x14ac:dyDescent="0.3">
      <c r="A90" s="78" t="s">
        <v>211</v>
      </c>
      <c r="B90" s="81" t="s">
        <v>15</v>
      </c>
      <c r="C90" s="27" t="s">
        <v>223</v>
      </c>
      <c r="D90" s="27" t="s">
        <v>222</v>
      </c>
      <c r="E90" s="27"/>
      <c r="F90" s="27" t="s">
        <v>182</v>
      </c>
    </row>
    <row r="91" spans="1:6" x14ac:dyDescent="0.3">
      <c r="A91" s="79"/>
      <c r="B91" s="82"/>
      <c r="C91" s="12" t="s">
        <v>224</v>
      </c>
      <c r="D91" s="12" t="s">
        <v>225</v>
      </c>
      <c r="F91" s="12" t="s">
        <v>182</v>
      </c>
    </row>
    <row r="92" spans="1:6" x14ac:dyDescent="0.3">
      <c r="A92" s="79"/>
      <c r="B92" s="83"/>
      <c r="C92" s="38"/>
      <c r="D92" s="38"/>
      <c r="E92" s="38"/>
      <c r="F92" s="38"/>
    </row>
    <row r="93" spans="1:6" x14ac:dyDescent="0.3">
      <c r="A93" s="79"/>
      <c r="B93" s="84" t="s">
        <v>234</v>
      </c>
      <c r="C93" s="12" t="s">
        <v>213</v>
      </c>
      <c r="D93" s="12" t="s">
        <v>212</v>
      </c>
      <c r="F93" s="12" t="s">
        <v>194</v>
      </c>
    </row>
    <row r="94" spans="1:6" x14ac:dyDescent="0.3">
      <c r="A94" s="79"/>
      <c r="B94" s="82"/>
      <c r="C94" s="12" t="s">
        <v>232</v>
      </c>
      <c r="D94" s="12" t="s">
        <v>226</v>
      </c>
      <c r="F94" s="12" t="s">
        <v>194</v>
      </c>
    </row>
    <row r="95" spans="1:6" x14ac:dyDescent="0.3">
      <c r="A95" s="79"/>
      <c r="B95" s="82"/>
      <c r="C95" s="12" t="s">
        <v>228</v>
      </c>
      <c r="D95" s="12" t="s">
        <v>227</v>
      </c>
      <c r="F95" s="12" t="s">
        <v>194</v>
      </c>
    </row>
    <row r="96" spans="1:6" x14ac:dyDescent="0.3">
      <c r="A96" s="79"/>
      <c r="B96" s="82"/>
      <c r="C96" s="12" t="s">
        <v>230</v>
      </c>
      <c r="D96" s="12" t="s">
        <v>229</v>
      </c>
      <c r="F96" s="12" t="s">
        <v>194</v>
      </c>
    </row>
    <row r="97" spans="1:6" x14ac:dyDescent="0.3">
      <c r="A97" s="79"/>
      <c r="B97" s="82"/>
      <c r="C97" s="12" t="s">
        <v>233</v>
      </c>
      <c r="D97" s="12" t="s">
        <v>231</v>
      </c>
      <c r="F97" s="12" t="s">
        <v>194</v>
      </c>
    </row>
    <row r="98" spans="1:6" x14ac:dyDescent="0.3">
      <c r="A98" s="79"/>
      <c r="B98" s="82"/>
      <c r="C98" s="12" t="s">
        <v>242</v>
      </c>
      <c r="D98" s="12" t="s">
        <v>238</v>
      </c>
      <c r="F98" s="12" t="s">
        <v>194</v>
      </c>
    </row>
    <row r="99" spans="1:6" x14ac:dyDescent="0.3">
      <c r="A99" s="79"/>
      <c r="B99" s="84" t="s">
        <v>263</v>
      </c>
      <c r="C99" s="36" t="s">
        <v>258</v>
      </c>
      <c r="D99" s="36" t="s">
        <v>264</v>
      </c>
      <c r="E99" s="36"/>
      <c r="F99" s="36" t="s">
        <v>265</v>
      </c>
    </row>
    <row r="100" spans="1:6" x14ac:dyDescent="0.3">
      <c r="A100" s="79"/>
      <c r="B100" s="82"/>
      <c r="C100" s="12" t="s">
        <v>259</v>
      </c>
      <c r="D100" s="12" t="s">
        <v>267</v>
      </c>
      <c r="F100" s="12" t="s">
        <v>265</v>
      </c>
    </row>
    <row r="101" spans="1:6" x14ac:dyDescent="0.3">
      <c r="A101" s="79"/>
      <c r="B101" s="82"/>
      <c r="C101" s="12" t="s">
        <v>274</v>
      </c>
      <c r="D101" s="12" t="s">
        <v>273</v>
      </c>
      <c r="F101" s="12" t="s">
        <v>278</v>
      </c>
    </row>
    <row r="102" spans="1:6" x14ac:dyDescent="0.3">
      <c r="A102" s="79"/>
      <c r="B102" s="82"/>
      <c r="C102" s="12" t="s">
        <v>260</v>
      </c>
      <c r="D102" s="12" t="s">
        <v>266</v>
      </c>
      <c r="F102" s="12" t="s">
        <v>265</v>
      </c>
    </row>
    <row r="103" spans="1:6" x14ac:dyDescent="0.3">
      <c r="A103" s="79"/>
      <c r="B103" s="82"/>
      <c r="C103" s="12" t="s">
        <v>276</v>
      </c>
      <c r="D103" s="12" t="s">
        <v>275</v>
      </c>
      <c r="F103" s="12" t="s">
        <v>277</v>
      </c>
    </row>
    <row r="104" spans="1:6" x14ac:dyDescent="0.3">
      <c r="A104" s="79"/>
      <c r="B104" s="82"/>
      <c r="C104" s="12" t="s">
        <v>280</v>
      </c>
      <c r="D104" s="12" t="s">
        <v>268</v>
      </c>
      <c r="F104" s="12" t="s">
        <v>269</v>
      </c>
    </row>
    <row r="105" spans="1:6" x14ac:dyDescent="0.3">
      <c r="A105" s="79"/>
      <c r="B105" s="82"/>
      <c r="C105" s="12" t="s">
        <v>257</v>
      </c>
      <c r="D105" s="12" t="s">
        <v>279</v>
      </c>
      <c r="F105" s="12" t="s">
        <v>269</v>
      </c>
    </row>
    <row r="106" spans="1:6" x14ac:dyDescent="0.3">
      <c r="A106" s="79"/>
      <c r="B106" s="82"/>
      <c r="C106" s="12" t="s">
        <v>261</v>
      </c>
      <c r="D106" s="12" t="s">
        <v>270</v>
      </c>
      <c r="F106" s="12" t="s">
        <v>269</v>
      </c>
    </row>
    <row r="107" spans="1:6" x14ac:dyDescent="0.3">
      <c r="A107" s="79"/>
      <c r="B107" s="82"/>
      <c r="C107" s="12" t="s">
        <v>262</v>
      </c>
      <c r="D107" s="12" t="s">
        <v>271</v>
      </c>
      <c r="F107" s="12" t="s">
        <v>272</v>
      </c>
    </row>
    <row r="108" spans="1:6" x14ac:dyDescent="0.3">
      <c r="A108" s="79"/>
      <c r="B108" s="84" t="s">
        <v>281</v>
      </c>
      <c r="C108" s="36" t="s">
        <v>283</v>
      </c>
      <c r="D108" s="36" t="s">
        <v>282</v>
      </c>
      <c r="E108" s="36"/>
      <c r="F108" s="36" t="s">
        <v>265</v>
      </c>
    </row>
    <row r="109" spans="1:6" x14ac:dyDescent="0.3">
      <c r="A109" s="79"/>
      <c r="B109" s="82"/>
      <c r="C109" s="12" t="s">
        <v>284</v>
      </c>
      <c r="D109" s="12" t="s">
        <v>285</v>
      </c>
      <c r="F109" s="12" t="s">
        <v>269</v>
      </c>
    </row>
    <row r="110" spans="1:6" x14ac:dyDescent="0.3">
      <c r="A110" s="79"/>
      <c r="B110" s="82"/>
      <c r="C110" s="12" t="s">
        <v>286</v>
      </c>
      <c r="D110" s="12" t="s">
        <v>288</v>
      </c>
      <c r="F110" s="12" t="s">
        <v>269</v>
      </c>
    </row>
    <row r="111" spans="1:6" x14ac:dyDescent="0.3">
      <c r="A111" s="79"/>
      <c r="B111" s="82"/>
      <c r="C111" s="12" t="s">
        <v>287</v>
      </c>
      <c r="D111" s="12" t="s">
        <v>289</v>
      </c>
      <c r="F111" s="12" t="s">
        <v>272</v>
      </c>
    </row>
    <row r="112" spans="1:6" x14ac:dyDescent="0.3">
      <c r="A112" s="79"/>
      <c r="B112" s="83"/>
    </row>
    <row r="113" spans="1:6" x14ac:dyDescent="0.3">
      <c r="A113" s="79"/>
      <c r="B113" s="84" t="s">
        <v>290</v>
      </c>
      <c r="C113" s="36" t="s">
        <v>291</v>
      </c>
      <c r="D113" s="36" t="s">
        <v>292</v>
      </c>
      <c r="E113" s="36"/>
      <c r="F113" s="36" t="s">
        <v>100</v>
      </c>
    </row>
    <row r="114" spans="1:6" x14ac:dyDescent="0.3">
      <c r="A114" s="79"/>
      <c r="B114" s="82"/>
      <c r="C114" s="12" t="s">
        <v>293</v>
      </c>
      <c r="D114" s="12" t="s">
        <v>294</v>
      </c>
      <c r="F114" s="12" t="s">
        <v>100</v>
      </c>
    </row>
    <row r="115" spans="1:6" x14ac:dyDescent="0.3">
      <c r="A115" s="79"/>
    </row>
  </sheetData>
  <mergeCells count="22">
    <mergeCell ref="B113:B114"/>
    <mergeCell ref="B108:B112"/>
    <mergeCell ref="A90:A115"/>
    <mergeCell ref="A2:A32"/>
    <mergeCell ref="B2:B11"/>
    <mergeCell ref="B12:B22"/>
    <mergeCell ref="B23:B32"/>
    <mergeCell ref="A33:A54"/>
    <mergeCell ref="B33:B42"/>
    <mergeCell ref="B43:B54"/>
    <mergeCell ref="B87:B89"/>
    <mergeCell ref="B55:B57"/>
    <mergeCell ref="B93:B98"/>
    <mergeCell ref="B99:B107"/>
    <mergeCell ref="B90:B92"/>
    <mergeCell ref="A55:A80"/>
    <mergeCell ref="B58:B60"/>
    <mergeCell ref="B61:B70"/>
    <mergeCell ref="B71:B80"/>
    <mergeCell ref="A81:A89"/>
    <mergeCell ref="B81:B83"/>
    <mergeCell ref="B84:B86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2026-04-02T08:35:56Z</dcterms:modified>
</cp:coreProperties>
</file>