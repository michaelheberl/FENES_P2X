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"/>
    </mc:Choice>
  </mc:AlternateContent>
  <xr:revisionPtr revIDLastSave="0" documentId="8_{0397633C-530B-45EB-94F0-45E424F9A277}" xr6:coauthVersionLast="47" xr6:coauthVersionMax="47" xr10:uidLastSave="{00000000-0000-0000-0000-000000000000}"/>
  <bookViews>
    <workbookView xWindow="-28920" yWindow="-120" windowWidth="29040" windowHeight="15720" xr2:uid="{FAAFFABD-1011-4F9B-989E-19B1479E12E5}"/>
  </bookViews>
  <sheets>
    <sheet name="Übersicht" sheetId="2" r:id="rId1"/>
    <sheet name="Batterie" sheetId="3" r:id="rId2"/>
    <sheet name="FT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1" i="2" l="1"/>
  <c r="C100" i="2" l="1"/>
  <c r="C98" i="2"/>
  <c r="C97" i="2"/>
  <c r="C96" i="2"/>
  <c r="C99" i="2"/>
  <c r="C95" i="2"/>
  <c r="C94" i="2"/>
  <c r="F14" i="4"/>
  <c r="F15" i="4" s="1"/>
  <c r="D12" i="4"/>
  <c r="E12" i="4"/>
  <c r="F12" i="4"/>
  <c r="G12" i="4"/>
  <c r="C12" i="4"/>
  <c r="C87" i="2"/>
  <c r="F86" i="2"/>
  <c r="C58" i="2"/>
  <c r="C1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tc={A25FB69A-0B5E-4398-B798-2B088F7EA064}</author>
  </authors>
  <commentList>
    <comment ref="C72" authorId="0" shapeId="0" xr:uid="{A25FB69A-0B5E-4398-B798-2B088F7EA064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</commentList>
</comments>
</file>

<file path=xl/sharedStrings.xml><?xml version="1.0" encoding="utf-8"?>
<sst xmlns="http://schemas.openxmlformats.org/spreadsheetml/2006/main" count="383" uniqueCount="181">
  <si>
    <t>Technologie</t>
  </si>
  <si>
    <t>Wert</t>
  </si>
  <si>
    <t>Einheit</t>
  </si>
  <si>
    <t>Quelle</t>
  </si>
  <si>
    <t>Kommentar</t>
  </si>
  <si>
    <t>Wirkungsgrad</t>
  </si>
  <si>
    <t>%</t>
  </si>
  <si>
    <t>P2X-II</t>
  </si>
  <si>
    <t>CAPEX</t>
  </si>
  <si>
    <t>OPEX</t>
  </si>
  <si>
    <t>Mengenverhältnisse Ein/Ausgang</t>
  </si>
  <si>
    <t>kg H2O/kg H2</t>
  </si>
  <si>
    <t>PEM Elektrolyse</t>
  </si>
  <si>
    <r>
      <t xml:space="preserve">Delpierre, M.; Quist, J.; Mertens, J.; Prieur-Vernat, A.; Cucurachi, S. Assessing the Environmental Impacts of Wind-Based Hydrogen Production in the Netherlands Using Ex-Ante LCA and Scenarios Analysis. J. Clean. Prod. </t>
    </r>
    <r>
      <rPr>
        <b/>
        <sz val="11"/>
        <color theme="1"/>
        <rFont val="Lucida Sans"/>
        <family val="2"/>
      </rPr>
      <t>2021</t>
    </r>
    <r>
      <rPr>
        <sz val="11"/>
        <color theme="1"/>
        <rFont val="Lucida Sans"/>
        <family val="2"/>
      </rPr>
      <t>, 299, 126866.</t>
    </r>
  </si>
  <si>
    <t>Energiebedarf von 50 kWh/kg H2 | Alternativ: Wir haben ein Excel-Tool mit dem wir Standort-scharf unter Berücksichtigung von Teillastverhalten etc. den genauen Wirkungsgrad der Elektrolyse berechnen können. Wurde hier veröffentlicht: https://www.sciencedirect.com/science/article/pii/S0360319922045232</t>
  </si>
  <si>
    <t>€/kW</t>
  </si>
  <si>
    <t>A. Ajanovic, M. Sayer, R. Haas
The economics and the environmental benignity of different colors of hydrogen
Int J Hydrogen Energy, 47 (2022), pp. 24136-24154, 10.1016/j.ijhydene.2022.02.094</t>
  </si>
  <si>
    <t>Alternativ: Wir haben eine variable Kostenfunktion für den CAPEX, die auf Basis des Installationsjahres und der Leistung den CAPEX berechnet. Ist auch im Paper enthalten</t>
  </si>
  <si>
    <t>% des CAPEX</t>
  </si>
  <si>
    <t>W. Colella, B. James, J. Moron, G. Saur, T. Ramsden
Techno-economic analysis of PEM electrolysis for hydrogen production
Golden, Colorado (2014)</t>
  </si>
  <si>
    <t>Wartung (Strom + Wasserkosten noch extra)</t>
  </si>
  <si>
    <t>Lebensdauer</t>
  </si>
  <si>
    <t>a</t>
  </si>
  <si>
    <t>Zinssatz</t>
  </si>
  <si>
    <t>Geres et al. - 2019 - Roadmap Chemie 2050</t>
  </si>
  <si>
    <t>Haber-Bosch</t>
  </si>
  <si>
    <t>Energiebedarf</t>
  </si>
  <si>
    <t>kWh/t NH3</t>
  </si>
  <si>
    <t>P2X-II; Bazzanella, Alexis Michael; Ausfelder, Florian (2017): Low carbon energy and feedstock
for the European chemical industry. Dechema. Frankfurt</t>
  </si>
  <si>
    <t xml:space="preserve">Energiebedarf H2-Verdichtung + Stickstofferzeugung  (ohne H2 Bedarf) </t>
  </si>
  <si>
    <t>Mio € pro t NH3/h</t>
  </si>
  <si>
    <t>Camelie et al. (2024) Conceptual process design and technoeconomic analysis of an e-ammonia plant: Green H2 and cryogenic air separation coupled with Haber-Bosch process</t>
  </si>
  <si>
    <t>Eigene Umrechnung mit Zahlen aus Paper</t>
  </si>
  <si>
    <t>% vom CAPEX</t>
  </si>
  <si>
    <t>Für maintenance, wages extra costs</t>
  </si>
  <si>
    <t>t H2/t NH3</t>
  </si>
  <si>
    <t>Methanol
synthese</t>
  </si>
  <si>
    <t>kWh/t CH3OH</t>
  </si>
  <si>
    <t>ohne H2 Bedarf</t>
  </si>
  <si>
    <t>Mio € pro t CH3OH/h</t>
  </si>
  <si>
    <t>Cormos - 2023 - Deployment of integrated Power-to-X and CO2 utilization systems Techno-economic assessment of synthetic natural gas and</t>
  </si>
  <si>
    <t>Szima, Cormos - 2018 - Improving methanol synthesis from carbon-free H2 and captured CO2 A techno-economic and environmental evaluation</t>
  </si>
  <si>
    <t>t H2/t CH3OH</t>
  </si>
  <si>
    <t>t CO2/t CH3OH</t>
  </si>
  <si>
    <t>Stöchiometrisch Ideales Verhältnis</t>
  </si>
  <si>
    <t>CO2-Bereitstellung
(Abscheidung Industriegas MEA)</t>
  </si>
  <si>
    <t>kWh_Wärme/t CO2</t>
  </si>
  <si>
    <t>Abu-Zahra et al. - 2007 - CO2 capture from power plants. Part II. A parametric study of the economical performance based on mono-ethanol</t>
  </si>
  <si>
    <t>Annahme: Abscheidung aus Industriegas (vllt können wir das bei allen Industrien ansetzen, wenn wir davon ausgehen, dass Industrie-spezifische Nebenstoffe vorab aus dem Abgas herausgefiltert werden)</t>
  </si>
  <si>
    <t>Mio € pro t CO2/h</t>
  </si>
  <si>
    <r>
      <t xml:space="preserve">Gärtner, S.; Marx-Schubach, T.; Gaderer, M.; Schmitz, G.; Sterner, M. Techno-Economic Analysis of Carbon Dioxide Separation for an Innovative Energy Concept towards Low-Emission Glass Melting. </t>
    </r>
    <r>
      <rPr>
        <i/>
        <sz val="11"/>
        <color theme="1"/>
        <rFont val="Lucida Sans"/>
        <family val="2"/>
      </rPr>
      <t>Energies</t>
    </r>
    <r>
      <rPr>
        <sz val="11"/>
        <color theme="1"/>
        <rFont val="Lucida Sans"/>
        <family val="2"/>
      </rPr>
      <t xml:space="preserve"> </t>
    </r>
    <r>
      <rPr>
        <b/>
        <sz val="11"/>
        <color theme="1"/>
        <rFont val="Lucida Sans"/>
        <family val="2"/>
      </rPr>
      <t>2023</t>
    </r>
    <r>
      <rPr>
        <sz val="11"/>
        <color theme="1"/>
        <rFont val="Lucida Sans"/>
        <family val="2"/>
      </rPr>
      <t xml:space="preserve">, </t>
    </r>
    <r>
      <rPr>
        <i/>
        <sz val="11"/>
        <color theme="1"/>
        <rFont val="Lucida Sans"/>
        <family val="2"/>
      </rPr>
      <t>16</t>
    </r>
    <r>
      <rPr>
        <sz val="11"/>
        <color theme="1"/>
        <rFont val="Lucida Sans"/>
        <family val="2"/>
      </rPr>
      <t>, 2140. https://doi.org/10.3390/en16052140</t>
    </r>
  </si>
  <si>
    <t>Bei 90 % Abscheidung aus Industriegas</t>
  </si>
  <si>
    <t>Maintenance</t>
  </si>
  <si>
    <t>kg MEA / t CO2</t>
  </si>
  <si>
    <t>MEA degradation rate (bei 1000 €/t MEA = 1,5 € Zusatzkosten pro t CO2)</t>
  </si>
  <si>
    <t>N2-Bereitstellung / ASU kryogen</t>
  </si>
  <si>
    <t xml:space="preserve">kWh/t N2 </t>
  </si>
  <si>
    <t>Mio € pro t N2/h</t>
  </si>
  <si>
    <t xml:space="preserve">H2-Speicher
Druckspeicher </t>
  </si>
  <si>
    <t xml:space="preserve">Wirkungsgrad </t>
  </si>
  <si>
    <t>Fuel Cells and Hydrogen 2 Joint Undertaking (FCH JU) - 2018 - Addendum to the multi-annual work plan 2014-2020</t>
  </si>
  <si>
    <t>Inkludiert alle notwendigen Schritte vom H2-Input, Speicherung über 48 h und H2-Output bei 30 bar</t>
  </si>
  <si>
    <t>CAPEX - Kapazität</t>
  </si>
  <si>
    <t>€/kg H2</t>
  </si>
  <si>
    <t>Gorre et al. - 2020 - Cost benefits of optimizing hydrogen storage and methanation capacities for Power-to-Gas plants in dynamic operati</t>
  </si>
  <si>
    <t>PV</t>
  </si>
  <si>
    <t>OPEX_fix</t>
  </si>
  <si>
    <t>OPEX_var</t>
  </si>
  <si>
    <t>€/kWh</t>
  </si>
  <si>
    <t>Kost et al. - 2024 - Levelized Cost of Electricity- Renewable Energy Technologies</t>
  </si>
  <si>
    <t>Zeitreihe</t>
  </si>
  <si>
    <t>Standortspezifisch</t>
  </si>
  <si>
    <t>renewables.ninja</t>
  </si>
  <si>
    <t>Wind Onshore</t>
  </si>
  <si>
    <t>Batterie
Li-Ion</t>
  </si>
  <si>
    <t>Kebede et al. (2021) - Techno-economic analysis of lithium-ion and lead-acid batteries in stationary energy storage application</t>
  </si>
  <si>
    <t>Selbstentladung</t>
  </si>
  <si>
    <t>% pro Tag</t>
  </si>
  <si>
    <t>CAPEX - Leistung</t>
  </si>
  <si>
    <t>Bloomberg mit C-Rate von 0,25</t>
  </si>
  <si>
    <t>Bloomberg / https://www.statista.com/statistics/883118/global-lithium-ion-battery-pack-costs/</t>
  </si>
  <si>
    <t>% CAPEX-Leistung pro Jahr</t>
  </si>
  <si>
    <t>NREL - Moderates Szenario</t>
  </si>
  <si>
    <t>C-Rate</t>
  </si>
  <si>
    <t>NREL</t>
  </si>
  <si>
    <t>Cai et al. (2020) - Optimal sizing and location based on economic parameters for an off-grid application of a hybrid system with photovoltaic, battery and diesel technology</t>
  </si>
  <si>
    <t>DAC</t>
  </si>
  <si>
    <t>Strombedarf</t>
  </si>
  <si>
    <t>kWh/kg_CO2</t>
  </si>
  <si>
    <t>Block, S. (2022). Auslegung, Analyse und Bewertung von Direct Air Capture (DAC)-
Anlagen zur Nutzung für Power-to-X-Prozesse und zur Erzielung „negativer Emissio-
nen“ in Deutschland. (Wuppertaler Studienarbeiten zur nachhaltigen Entwicklung Nr.
25). Wuppertal Institut.</t>
  </si>
  <si>
    <t>Wärmebedarf</t>
  </si>
  <si>
    <t>kWh_th/kg_CO2</t>
  </si>
  <si>
    <t>€/kg_CO2 *h</t>
  </si>
  <si>
    <t>Verfikation über: https://doi.org/10.1016/j.enconman.2024.118728</t>
  </si>
  <si>
    <t>(%_Capex)/a</t>
  </si>
  <si>
    <t>(%)</t>
  </si>
  <si>
    <t>Wärmepumpe</t>
  </si>
  <si>
    <t>Agora Industry, FutureCamp, Wuppertal Institute (2022): Power-2-Heat: Direct electrification of industrial process heat - Calculator for estimating transformation costs Model version 1.1, Berlin, September 16, 2022</t>
  </si>
  <si>
    <t>kW_el/kW_th</t>
  </si>
  <si>
    <t>Agora Industry, FutureCamp, Wuppertal Institute (2022): Power-2-Heat: Direct electrification of industrial process heat - Calculator for estimating transformation costs Model version 1.1, Berlin, September 16, 2023</t>
  </si>
  <si>
    <t>€/kW_th</t>
  </si>
  <si>
    <t>Agora Industry, FutureCamp, Wuppertal Institute (2022): Power-2-Heat: Direct electrification of industrial process heat - Calculator for estimating transformation costs Model version 1.1, Berlin, September 16, 2024</t>
  </si>
  <si>
    <t>Agora Industry, FutureCamp, Wuppertal Institute (2022): Power-2-Heat: Direct electrification of industrial process heat - Calculator for estimating transformation costs Model version 1.1, Berlin, September 16, 2025</t>
  </si>
  <si>
    <t>Agora Industry, FutureCamp, Wuppertal Institute (2022): Power-2-Heat: Direct electrification of industrial process heat - Calculator for estimating transformation costs Model version 1.1, Berlin, September 16, 2026</t>
  </si>
  <si>
    <t>Agora Industry, FutureCamp, Wuppertal Institute (2022): Power-2-Heat: Direct electrification of industrial process heat - Calculator for estimating transformation costs Model version 1.1, Berlin, September 16, 2027</t>
  </si>
  <si>
    <t>Wärmespeicher</t>
  </si>
  <si>
    <t>Wirkungsgrad - Einspeichern</t>
  </si>
  <si>
    <t>Goschin (2022) - Dekarbonisierungsansätze in der stahlverarbeitende Industrie – eine numerische Studie</t>
  </si>
  <si>
    <t>Wirkungsgrad - Ausspeichern</t>
  </si>
  <si>
    <t>%/Monat</t>
  </si>
  <si>
    <t>€/kWh th</t>
  </si>
  <si>
    <t>PtL Anlage inkl. Aufbereitung Gesamt</t>
  </si>
  <si>
    <t>H2 Bedarf</t>
  </si>
  <si>
    <t>t / t SAF</t>
  </si>
  <si>
    <t>Ineratec Anlage</t>
  </si>
  <si>
    <t>CO2 Bedarf</t>
  </si>
  <si>
    <t>Wasserbedarf</t>
  </si>
  <si>
    <t>Druckluftbedarf</t>
  </si>
  <si>
    <t>Nm3 / t SAF</t>
  </si>
  <si>
    <t>Ineratec Anlage, bei 0,1 kWh / Nm3 Druckluft --&gt; 28,9 MWh / t SAF</t>
  </si>
  <si>
    <t>MWh Strom / t SAF</t>
  </si>
  <si>
    <t>Strombedarf durch Druckluft</t>
  </si>
  <si>
    <t>MWh / t SAF</t>
  </si>
  <si>
    <t>Nebenprodukte</t>
  </si>
  <si>
    <t>t Naphtha / t SAF</t>
  </si>
  <si>
    <t>Mio € / t Produkte pro h</t>
  </si>
  <si>
    <t>Marchese (2021) - CO2from direct air capture as carbon feedstock for Fischer-Tropsch chemicals and fuels: Energy and economic analysis</t>
  </si>
  <si>
    <t>Adelung (2022) - Impact of the reverse water-gas shift operating conditions on the Power-to-Liquid fuel production cost</t>
  </si>
  <si>
    <t>https://atb.nrel.gov/electricity/2023/utility-scale_battery_storage</t>
  </si>
  <si>
    <t>Unit</t>
  </si>
  <si>
    <t>C.1</t>
  </si>
  <si>
    <t>C.2</t>
  </si>
  <si>
    <t>C.3</t>
  </si>
  <si>
    <t>C.4</t>
  </si>
  <si>
    <t>C.5</t>
  </si>
  <si>
    <t>Quelle:</t>
  </si>
  <si>
    <t>Electrolysis</t>
  </si>
  <si>
    <t>M€</t>
  </si>
  <si>
    <t>https://www.sciencedirect.com/science/article/pii/S2212982021000548?via%3Dihub</t>
  </si>
  <si>
    <t>DAC section</t>
  </si>
  <si>
    <t>Thermal integration</t>
  </si>
  <si>
    <t>RWGS</t>
  </si>
  <si>
    <t>C4 treffend, weil keine Wärme zur DAC zirkuliert wurde</t>
  </si>
  <si>
    <t>FT</t>
  </si>
  <si>
    <t>Produktion FT Produkte bei C4:</t>
  </si>
  <si>
    <t>Total syngas compression</t>
  </si>
  <si>
    <t>t/h</t>
  </si>
  <si>
    <t>Distillation</t>
  </si>
  <si>
    <t>Afterburn combustor</t>
  </si>
  <si>
    <t>Total</t>
  </si>
  <si>
    <t>Anteil relevant</t>
  </si>
  <si>
    <t>Mio €</t>
  </si>
  <si>
    <t>pro t</t>
  </si>
  <si>
    <t>Mio € pro t pro h</t>
  </si>
  <si>
    <t>Biogasbedarf</t>
  </si>
  <si>
    <t>t Biogas / t CO2</t>
  </si>
  <si>
    <t>Annahme auf Basis Biogaszusammensetzung 60 % CH4, 40 % CO2</t>
  </si>
  <si>
    <t>kWh/ t CO2</t>
  </si>
  <si>
    <t>https://www.sciencedirect.com/science/article/pii/S1750583607000321?via%3Dihub</t>
  </si>
  <si>
    <t>% der Kapazität /h</t>
  </si>
  <si>
    <t>Für Modell notwendig</t>
  </si>
  <si>
    <t>Ausbaugrenze</t>
  </si>
  <si>
    <t xml:space="preserve">MW </t>
  </si>
  <si>
    <t>Wasserstoffbedarf</t>
  </si>
  <si>
    <t>Info von Dechema</t>
  </si>
  <si>
    <t>Eigene Festlegung</t>
  </si>
  <si>
    <t>Methanisierung</t>
  </si>
  <si>
    <t>Nährmedium-Bedarf</t>
  </si>
  <si>
    <t>Ammonium-Bedarf</t>
  </si>
  <si>
    <t>Sodium sulfide-Bedarf</t>
  </si>
  <si>
    <t>Abwasser</t>
  </si>
  <si>
    <t>t/t CH4</t>
  </si>
  <si>
    <t>L /t CH4</t>
  </si>
  <si>
    <t>kWh/t CH4</t>
  </si>
  <si>
    <t>Heberl (2024) - Prospective Life Cycle Assessment of Biological Methanation in a Trickle-Bed Pilot Plant and a Potential Scale-Up</t>
  </si>
  <si>
    <t>Elhaus (2024) - Techno-economic evaluation of anaerobic digestion and biological methanation in Power-to-Methane-Systems</t>
  </si>
  <si>
    <t>Mehrere Quellen für die Zahl von Nora angegeben - noch raussuchen</t>
  </si>
  <si>
    <t>Mio. €/t CH4 pro h</t>
  </si>
  <si>
    <t>In Bär 2020 mit 685 €/kW Methan (Brennwert) - 15,4 kWh/kg Brennwert --&gt; 685€/45,6 kg Methan --&lt; 10,5 Mio € / t CH4 / h</t>
  </si>
  <si>
    <t>Vinardell (2024) - Exploring the potential of biological methanation for future defossilization scenarios: Techno-economic and environmental evaluation - mit 500 €/kW</t>
  </si>
  <si>
    <t>5-7 % als Bandbreite - Mehrere Quellen für die Zahl von Nora angegeben - noch raussuchen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</si>
</sst>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€&quot;_-;\-* #,##0.00\ &quot;€&quot;_-;_-* &quot;-&quot;??\ &quot;€&quot;_-;_-@_-"/>
    <numFmt numFmtId="165" formatCode="0.000"/>
    <numFmt numFmtId="166" formatCode="0.0"/>
  </numFmts>
  <fonts count="12" x14ac:knownFonts="1">
    <font>
      <sz val="11"/>
      <color theme="1"/>
      <name val="Lucida Sans"/>
      <family val="2"/>
    </font>
    <font>
      <b/>
      <sz val="11"/>
      <color theme="1"/>
      <name val="Lucida Sans"/>
      <family val="2"/>
    </font>
    <font>
      <sz val="11"/>
      <color theme="1"/>
      <name val="Lucida Sans"/>
      <family val="2"/>
    </font>
    <font>
      <sz val="11"/>
      <color rgb="FF9C5700"/>
      <name val="Aptos Narrow"/>
      <family val="2"/>
      <scheme val="minor"/>
    </font>
    <font>
      <i/>
      <sz val="11"/>
      <color theme="1"/>
      <name val="Lucida Sans"/>
      <family val="2"/>
    </font>
    <font>
      <sz val="11"/>
      <color theme="1"/>
      <name val="Aptos Narrow"/>
      <family val="2"/>
      <scheme val="minor"/>
    </font>
    <font>
      <sz val="8"/>
      <name val="Lucida Sans"/>
      <family val="2"/>
    </font>
    <font>
      <sz val="11"/>
      <color theme="2" tint="-9.9978637043366805E-2"/>
      <name val="Lucida Sans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0" tint="-0.249977111117893"/>
      <name val="Lucida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2" borderId="0" applyNumberFormat="0" applyBorder="0" applyAlignment="0" applyProtection="0"/>
    <xf numFmtId="0" fontId="5" fillId="0" borderId="0"/>
  </cellStyleXfs>
  <cellXfs count="43">
    <xf numFmtId="0" fontId="0" fillId="0" borderId="0" xfId="0"/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3" xfId="0" applyBorder="1" applyAlignment="1">
      <alignment wrapText="1"/>
    </xf>
    <xf numFmtId="2" fontId="0" fillId="0" borderId="0" xfId="0" applyNumberFormat="1"/>
    <xf numFmtId="0" fontId="1" fillId="0" borderId="2" xfId="0" applyFont="1" applyBorder="1"/>
    <xf numFmtId="0" fontId="1" fillId="0" borderId="0" xfId="0" applyFont="1"/>
    <xf numFmtId="1" fontId="0" fillId="0" borderId="0" xfId="0" applyNumberFormat="1"/>
    <xf numFmtId="0" fontId="7" fillId="0" borderId="0" xfId="0" applyFont="1"/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1" fontId="10" fillId="0" borderId="0" xfId="0" applyNumberFormat="1" applyFont="1" applyAlignment="1">
      <alignment horizontal="right" vertical="center"/>
    </xf>
    <xf numFmtId="1" fontId="10" fillId="0" borderId="0" xfId="0" applyNumberFormat="1" applyFont="1" applyAlignment="1">
      <alignment horizontal="right" vertical="center" wrapText="1"/>
    </xf>
    <xf numFmtId="2" fontId="10" fillId="0" borderId="0" xfId="0" applyNumberFormat="1" applyFont="1" applyAlignment="1">
      <alignment horizontal="right" vertical="center"/>
    </xf>
    <xf numFmtId="2" fontId="10" fillId="0" borderId="0" xfId="0" applyNumberFormat="1" applyFont="1" applyAlignment="1">
      <alignment horizontal="right" vertical="center" wrapText="1"/>
    </xf>
    <xf numFmtId="0" fontId="8" fillId="0" borderId="2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2" fontId="8" fillId="0" borderId="2" xfId="0" applyNumberFormat="1" applyFont="1" applyBorder="1" applyAlignment="1">
      <alignment horizontal="right" vertical="center"/>
    </xf>
    <xf numFmtId="2" fontId="8" fillId="0" borderId="2" xfId="0" applyNumberFormat="1" applyFont="1" applyBorder="1" applyAlignment="1">
      <alignment horizontal="right" vertical="center" wrapText="1"/>
    </xf>
    <xf numFmtId="166" fontId="0" fillId="0" borderId="0" xfId="0" applyNumberFormat="1"/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165" fontId="0" fillId="0" borderId="0" xfId="0" applyNumberFormat="1"/>
    <xf numFmtId="2" fontId="0" fillId="0" borderId="0" xfId="1" applyNumberFormat="1" applyFont="1" applyFill="1"/>
    <xf numFmtId="165" fontId="0" fillId="0" borderId="0" xfId="1" applyNumberFormat="1" applyFont="1" applyFill="1"/>
    <xf numFmtId="2" fontId="7" fillId="0" borderId="0" xfId="0" applyNumberFormat="1" applyFont="1"/>
    <xf numFmtId="0" fontId="0" fillId="4" borderId="0" xfId="0" applyFill="1"/>
    <xf numFmtId="0" fontId="11" fillId="0" borderId="0" xfId="0" applyFont="1"/>
    <xf numFmtId="2" fontId="11" fillId="0" borderId="0" xfId="0" applyNumberFormat="1" applyFont="1"/>
    <xf numFmtId="0" fontId="1" fillId="0" borderId="4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</cellXfs>
  <cellStyles count="5">
    <cellStyle name="Neutral 2" xfId="3" xr:uid="{93318351-3591-496B-822E-F31E104DC19D}"/>
    <cellStyle name="Standard" xfId="0" builtinId="0"/>
    <cellStyle name="Standard 9" xfId="4" xr:uid="{4BE35D34-39C2-4F8E-A0E6-C22EA628B8C7}"/>
    <cellStyle name="Währung" xfId="1" builtinId="4"/>
    <cellStyle name="Währung 2" xfId="2" xr:uid="{721C0FDA-E99A-48A5-897E-F7039A98C8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92218</xdr:colOff>
      <xdr:row>19</xdr:row>
      <xdr:rowOff>49967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CB14093-56FF-4736-8127-6421A57C2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"/>
          <a:ext cx="5574808" cy="3134162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20</xdr:row>
      <xdr:rowOff>133350</xdr:rowOff>
    </xdr:from>
    <xdr:to>
      <xdr:col>8</xdr:col>
      <xdr:colOff>600075</xdr:colOff>
      <xdr:row>53</xdr:row>
      <xdr:rowOff>57150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EF304509-9843-5550-A4C6-28B35092F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3562350"/>
          <a:ext cx="7848600" cy="558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ED904EBF-9A25-495C-A9C8-ED734AD24FA3}" userId="73709f7862571f8c" providerId="Windows Live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72" dT="2025-03-18T08:08:24.46" personId="{ED904EBF-9A25-495C-A9C8-ED734AD24FA3}" id="{A25FB69A-0B5E-4398-B798-2B088F7EA064}">
    <text xml:space="preserve">0,7 * 10^6 /1000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DDCC9-9E31-4F9F-A0FD-075D8B2FB2DA}">
  <dimension ref="A1:G104"/>
  <sheetViews>
    <sheetView tabSelected="1" topLeftCell="A53" zoomScale="85" zoomScaleNormal="85" workbookViewId="0">
      <selection activeCell="E95" sqref="E95"/>
    </sheetView>
  </sheetViews>
  <sheetFormatPr baseColWidth="10" defaultColWidth="11.54296875" defaultRowHeight="13.8" x14ac:dyDescent="0.25"/>
  <cols>
    <col min="1" max="1" width="18.453125" style="7" customWidth="1"/>
    <col min="2" max="2" width="32.6328125" bestFit="1" customWidth="1"/>
    <col min="3" max="3" width="15.54296875" bestFit="1" customWidth="1"/>
    <col min="4" max="4" width="22.81640625" customWidth="1"/>
    <col min="5" max="5" width="67.81640625" customWidth="1"/>
    <col min="6" max="6" width="77.1796875" customWidth="1"/>
  </cols>
  <sheetData>
    <row r="1" spans="1:6" ht="14.4" thickBot="1" x14ac:dyDescent="0.3">
      <c r="A1" s="6" t="s">
        <v>0</v>
      </c>
      <c r="B1" s="6"/>
      <c r="C1" s="6" t="s">
        <v>1</v>
      </c>
      <c r="D1" s="6" t="s">
        <v>2</v>
      </c>
      <c r="E1" s="6" t="s">
        <v>3</v>
      </c>
      <c r="F1" s="6" t="s">
        <v>4</v>
      </c>
    </row>
    <row r="2" spans="1:6" ht="55.2" x14ac:dyDescent="0.25">
      <c r="A2" s="36" t="s">
        <v>12</v>
      </c>
      <c r="B2" s="1" t="s">
        <v>5</v>
      </c>
      <c r="C2" s="1">
        <v>66.599999999999994</v>
      </c>
      <c r="D2" s="1" t="s">
        <v>6</v>
      </c>
      <c r="E2" t="s">
        <v>13</v>
      </c>
      <c r="F2" s="4" t="s">
        <v>14</v>
      </c>
    </row>
    <row r="3" spans="1:6" x14ac:dyDescent="0.25">
      <c r="A3" s="37"/>
      <c r="B3" t="s">
        <v>8</v>
      </c>
      <c r="C3" s="26">
        <v>1000</v>
      </c>
      <c r="D3" t="s">
        <v>15</v>
      </c>
      <c r="E3" t="s">
        <v>16</v>
      </c>
      <c r="F3" t="s">
        <v>17</v>
      </c>
    </row>
    <row r="4" spans="1:6" x14ac:dyDescent="0.25">
      <c r="A4" s="37"/>
      <c r="B4" t="s">
        <v>9</v>
      </c>
      <c r="C4">
        <v>3</v>
      </c>
      <c r="D4" t="s">
        <v>18</v>
      </c>
      <c r="E4" t="s">
        <v>19</v>
      </c>
      <c r="F4" t="s">
        <v>20</v>
      </c>
    </row>
    <row r="5" spans="1:6" x14ac:dyDescent="0.25">
      <c r="A5" s="37"/>
      <c r="B5" t="s">
        <v>10</v>
      </c>
      <c r="C5">
        <v>10</v>
      </c>
      <c r="D5" t="s">
        <v>11</v>
      </c>
      <c r="E5" t="s">
        <v>13</v>
      </c>
    </row>
    <row r="6" spans="1:6" x14ac:dyDescent="0.25">
      <c r="A6" s="37"/>
      <c r="B6" t="s">
        <v>21</v>
      </c>
      <c r="C6">
        <v>20</v>
      </c>
      <c r="D6" t="s">
        <v>22</v>
      </c>
      <c r="E6" t="s">
        <v>13</v>
      </c>
    </row>
    <row r="7" spans="1:6" s="2" customFormat="1" x14ac:dyDescent="0.25">
      <c r="A7" s="37"/>
      <c r="B7" s="2" t="s">
        <v>23</v>
      </c>
      <c r="C7" s="2">
        <v>8</v>
      </c>
      <c r="D7" s="2" t="s">
        <v>6</v>
      </c>
      <c r="E7" s="2" t="s">
        <v>24</v>
      </c>
    </row>
    <row r="8" spans="1:6" x14ac:dyDescent="0.25">
      <c r="A8" s="42" t="s">
        <v>25</v>
      </c>
      <c r="B8" t="s">
        <v>26</v>
      </c>
      <c r="C8">
        <v>1800</v>
      </c>
      <c r="D8" t="s">
        <v>27</v>
      </c>
      <c r="E8" t="s">
        <v>28</v>
      </c>
      <c r="F8" t="s">
        <v>29</v>
      </c>
    </row>
    <row r="9" spans="1:6" x14ac:dyDescent="0.25">
      <c r="A9" s="37"/>
      <c r="B9" t="s">
        <v>8</v>
      </c>
      <c r="C9" s="5">
        <v>9.0747936507936515</v>
      </c>
      <c r="D9" s="5" t="s">
        <v>30</v>
      </c>
      <c r="E9" t="s">
        <v>31</v>
      </c>
      <c r="F9" t="s">
        <v>32</v>
      </c>
    </row>
    <row r="10" spans="1:6" x14ac:dyDescent="0.25">
      <c r="A10" s="37"/>
      <c r="B10" t="s">
        <v>9</v>
      </c>
      <c r="C10">
        <v>5</v>
      </c>
      <c r="D10" t="s">
        <v>33</v>
      </c>
      <c r="E10" t="s">
        <v>31</v>
      </c>
      <c r="F10" t="s">
        <v>34</v>
      </c>
    </row>
    <row r="11" spans="1:6" x14ac:dyDescent="0.25">
      <c r="A11" s="37"/>
      <c r="B11" t="s">
        <v>10</v>
      </c>
      <c r="C11">
        <v>0.17799999999999999</v>
      </c>
      <c r="D11" t="s">
        <v>35</v>
      </c>
      <c r="E11" t="s">
        <v>7</v>
      </c>
    </row>
    <row r="12" spans="1:6" x14ac:dyDescent="0.25">
      <c r="A12" s="37"/>
      <c r="B12" t="s">
        <v>21</v>
      </c>
      <c r="C12">
        <v>25</v>
      </c>
      <c r="D12" t="s">
        <v>22</v>
      </c>
      <c r="F12" t="s">
        <v>164</v>
      </c>
    </row>
    <row r="13" spans="1:6" s="2" customFormat="1" x14ac:dyDescent="0.25">
      <c r="A13" s="41"/>
      <c r="B13" s="2" t="s">
        <v>23</v>
      </c>
      <c r="C13" s="2">
        <v>8</v>
      </c>
      <c r="D13" s="2" t="s">
        <v>6</v>
      </c>
      <c r="F13" s="2" t="s">
        <v>164</v>
      </c>
    </row>
    <row r="14" spans="1:6" x14ac:dyDescent="0.25">
      <c r="A14" s="38" t="s">
        <v>36</v>
      </c>
      <c r="B14" t="s">
        <v>26</v>
      </c>
      <c r="C14">
        <v>1500</v>
      </c>
      <c r="D14" t="s">
        <v>37</v>
      </c>
      <c r="E14" t="s">
        <v>28</v>
      </c>
      <c r="F14" t="s">
        <v>38</v>
      </c>
    </row>
    <row r="15" spans="1:6" x14ac:dyDescent="0.25">
      <c r="A15" s="37"/>
      <c r="B15" t="s">
        <v>8</v>
      </c>
      <c r="C15" s="5">
        <v>5.1104000000000003</v>
      </c>
      <c r="D15" t="s">
        <v>39</v>
      </c>
      <c r="E15" t="s">
        <v>40</v>
      </c>
    </row>
    <row r="16" spans="1:6" x14ac:dyDescent="0.25">
      <c r="A16" s="37"/>
      <c r="B16" t="s">
        <v>9</v>
      </c>
      <c r="C16">
        <v>5</v>
      </c>
      <c r="D16" t="s">
        <v>33</v>
      </c>
      <c r="E16" t="s">
        <v>41</v>
      </c>
    </row>
    <row r="17" spans="1:6" x14ac:dyDescent="0.25">
      <c r="A17" s="37"/>
      <c r="B17" t="s">
        <v>163</v>
      </c>
      <c r="C17" s="27">
        <f>2100*0.08988/1000</f>
        <v>0.188748</v>
      </c>
      <c r="D17" t="s">
        <v>42</v>
      </c>
      <c r="E17" t="s">
        <v>28</v>
      </c>
    </row>
    <row r="18" spans="1:6" x14ac:dyDescent="0.25">
      <c r="A18" s="37"/>
      <c r="B18" t="s">
        <v>115</v>
      </c>
      <c r="C18" s="27">
        <v>1.375</v>
      </c>
      <c r="D18" t="s">
        <v>43</v>
      </c>
      <c r="E18" t="s">
        <v>44</v>
      </c>
    </row>
    <row r="19" spans="1:6" x14ac:dyDescent="0.25">
      <c r="A19" s="37"/>
      <c r="B19" t="s">
        <v>21</v>
      </c>
      <c r="C19">
        <v>25</v>
      </c>
      <c r="D19" t="s">
        <v>22</v>
      </c>
      <c r="F19" t="s">
        <v>164</v>
      </c>
    </row>
    <row r="20" spans="1:6" s="2" customFormat="1" x14ac:dyDescent="0.25">
      <c r="A20" s="41"/>
      <c r="B20" s="2" t="s">
        <v>23</v>
      </c>
      <c r="C20" s="2">
        <v>8</v>
      </c>
      <c r="D20" s="2" t="s">
        <v>6</v>
      </c>
      <c r="F20" s="2" t="s">
        <v>164</v>
      </c>
    </row>
    <row r="21" spans="1:6" ht="13.95" customHeight="1" x14ac:dyDescent="0.25">
      <c r="A21" s="38" t="s">
        <v>45</v>
      </c>
      <c r="B21" t="s">
        <v>26</v>
      </c>
      <c r="C21">
        <v>928</v>
      </c>
      <c r="D21" t="s">
        <v>46</v>
      </c>
      <c r="E21" t="s">
        <v>47</v>
      </c>
      <c r="F21" t="s">
        <v>48</v>
      </c>
    </row>
    <row r="22" spans="1:6" ht="13.95" customHeight="1" x14ac:dyDescent="0.25">
      <c r="A22" s="38"/>
      <c r="B22" t="s">
        <v>154</v>
      </c>
      <c r="C22">
        <v>2.5</v>
      </c>
      <c r="D22" t="s">
        <v>155</v>
      </c>
      <c r="E22" t="s">
        <v>156</v>
      </c>
    </row>
    <row r="23" spans="1:6" x14ac:dyDescent="0.25">
      <c r="A23" s="38"/>
      <c r="B23" t="s">
        <v>8</v>
      </c>
      <c r="C23">
        <v>1.64</v>
      </c>
      <c r="D23" t="s">
        <v>49</v>
      </c>
      <c r="E23" t="s">
        <v>50</v>
      </c>
      <c r="F23" t="s">
        <v>51</v>
      </c>
    </row>
    <row r="24" spans="1:6" x14ac:dyDescent="0.25">
      <c r="A24" s="38"/>
      <c r="B24" t="s">
        <v>9</v>
      </c>
      <c r="C24">
        <v>4</v>
      </c>
      <c r="D24" t="s">
        <v>33</v>
      </c>
      <c r="E24" t="s">
        <v>47</v>
      </c>
      <c r="F24" t="s">
        <v>52</v>
      </c>
    </row>
    <row r="25" spans="1:6" x14ac:dyDescent="0.25">
      <c r="A25" s="38"/>
      <c r="B25" t="s">
        <v>87</v>
      </c>
      <c r="C25">
        <v>200</v>
      </c>
      <c r="D25" t="s">
        <v>157</v>
      </c>
      <c r="E25" t="s">
        <v>158</v>
      </c>
    </row>
    <row r="26" spans="1:6" x14ac:dyDescent="0.25">
      <c r="A26" s="38"/>
      <c r="B26" t="s">
        <v>10</v>
      </c>
      <c r="C26">
        <v>1.5</v>
      </c>
      <c r="D26" t="s">
        <v>53</v>
      </c>
      <c r="E26" t="s">
        <v>47</v>
      </c>
      <c r="F26" t="s">
        <v>54</v>
      </c>
    </row>
    <row r="27" spans="1:6" x14ac:dyDescent="0.25">
      <c r="A27" s="38"/>
      <c r="B27" t="s">
        <v>21</v>
      </c>
      <c r="C27">
        <v>25</v>
      </c>
      <c r="D27" t="s">
        <v>22</v>
      </c>
      <c r="F27" t="s">
        <v>164</v>
      </c>
    </row>
    <row r="28" spans="1:6" s="2" customFormat="1" x14ac:dyDescent="0.25">
      <c r="A28" s="39"/>
      <c r="B28" s="2" t="s">
        <v>23</v>
      </c>
      <c r="C28" s="2">
        <v>8</v>
      </c>
      <c r="D28" s="2" t="s">
        <v>6</v>
      </c>
      <c r="F28" s="2" t="s">
        <v>164</v>
      </c>
    </row>
    <row r="29" spans="1:6" ht="13.95" customHeight="1" x14ac:dyDescent="0.25">
      <c r="A29" s="38" t="s">
        <v>55</v>
      </c>
      <c r="B29" t="s">
        <v>26</v>
      </c>
      <c r="C29">
        <v>240</v>
      </c>
      <c r="D29" t="s">
        <v>56</v>
      </c>
      <c r="E29" t="s">
        <v>31</v>
      </c>
      <c r="F29" t="s">
        <v>32</v>
      </c>
    </row>
    <row r="30" spans="1:6" x14ac:dyDescent="0.25">
      <c r="A30" s="38"/>
      <c r="B30" t="s">
        <v>8</v>
      </c>
      <c r="C30" s="5">
        <v>1.985111111111111</v>
      </c>
      <c r="D30" t="s">
        <v>57</v>
      </c>
      <c r="E30" t="s">
        <v>31</v>
      </c>
      <c r="F30" t="s">
        <v>32</v>
      </c>
    </row>
    <row r="31" spans="1:6" x14ac:dyDescent="0.25">
      <c r="A31" s="38"/>
      <c r="B31" t="s">
        <v>9</v>
      </c>
      <c r="C31">
        <v>5</v>
      </c>
      <c r="D31" t="s">
        <v>33</v>
      </c>
      <c r="E31" t="s">
        <v>31</v>
      </c>
      <c r="F31" t="s">
        <v>34</v>
      </c>
    </row>
    <row r="32" spans="1:6" x14ac:dyDescent="0.25">
      <c r="A32" s="38"/>
      <c r="B32" t="s">
        <v>21</v>
      </c>
      <c r="C32">
        <v>25</v>
      </c>
      <c r="D32" t="s">
        <v>22</v>
      </c>
      <c r="F32" t="s">
        <v>164</v>
      </c>
    </row>
    <row r="33" spans="1:6" x14ac:dyDescent="0.25">
      <c r="A33" s="38"/>
      <c r="B33" t="s">
        <v>23</v>
      </c>
      <c r="C33">
        <v>8</v>
      </c>
      <c r="D33" t="s">
        <v>6</v>
      </c>
      <c r="F33" s="2" t="s">
        <v>164</v>
      </c>
    </row>
    <row r="34" spans="1:6" ht="13.95" customHeight="1" x14ac:dyDescent="0.25">
      <c r="A34" s="38" t="s">
        <v>58</v>
      </c>
      <c r="B34" s="3" t="s">
        <v>59</v>
      </c>
      <c r="C34" s="3">
        <v>70</v>
      </c>
      <c r="D34" s="3" t="s">
        <v>6</v>
      </c>
      <c r="E34" s="3" t="s">
        <v>60</v>
      </c>
      <c r="F34" s="3" t="s">
        <v>61</v>
      </c>
    </row>
    <row r="35" spans="1:6" x14ac:dyDescent="0.25">
      <c r="A35" s="38"/>
      <c r="B35" t="s">
        <v>62</v>
      </c>
      <c r="C35">
        <v>490</v>
      </c>
      <c r="D35" t="s">
        <v>63</v>
      </c>
      <c r="E35" t="s">
        <v>64</v>
      </c>
    </row>
    <row r="36" spans="1:6" x14ac:dyDescent="0.25">
      <c r="A36" s="38"/>
      <c r="B36" t="s">
        <v>9</v>
      </c>
      <c r="C36">
        <v>1</v>
      </c>
      <c r="D36" t="s">
        <v>33</v>
      </c>
      <c r="E36" t="s">
        <v>64</v>
      </c>
    </row>
    <row r="37" spans="1:6" x14ac:dyDescent="0.25">
      <c r="A37" s="38"/>
      <c r="B37" t="s">
        <v>76</v>
      </c>
      <c r="C37">
        <v>1E-3</v>
      </c>
      <c r="D37" t="s">
        <v>159</v>
      </c>
      <c r="F37" t="s">
        <v>160</v>
      </c>
    </row>
    <row r="38" spans="1:6" x14ac:dyDescent="0.25">
      <c r="A38" s="38"/>
      <c r="B38" t="s">
        <v>21</v>
      </c>
      <c r="C38">
        <v>20</v>
      </c>
      <c r="D38" t="s">
        <v>22</v>
      </c>
      <c r="E38" t="s">
        <v>64</v>
      </c>
    </row>
    <row r="39" spans="1:6" s="2" customFormat="1" x14ac:dyDescent="0.25">
      <c r="A39" s="39"/>
      <c r="B39" s="2" t="s">
        <v>23</v>
      </c>
      <c r="C39" s="2">
        <v>5</v>
      </c>
      <c r="D39" s="2" t="s">
        <v>6</v>
      </c>
      <c r="F39" s="2" t="s">
        <v>164</v>
      </c>
    </row>
    <row r="40" spans="1:6" x14ac:dyDescent="0.25">
      <c r="A40" s="38" t="s">
        <v>65</v>
      </c>
      <c r="B40" t="s">
        <v>5</v>
      </c>
      <c r="C40">
        <v>99</v>
      </c>
      <c r="D40" t="s">
        <v>6</v>
      </c>
      <c r="E40" t="s">
        <v>7</v>
      </c>
    </row>
    <row r="41" spans="1:6" x14ac:dyDescent="0.25">
      <c r="A41" s="38"/>
      <c r="B41" t="s">
        <v>8</v>
      </c>
      <c r="C41" s="28">
        <v>1100</v>
      </c>
      <c r="D41" t="s">
        <v>15</v>
      </c>
      <c r="E41" t="s">
        <v>7</v>
      </c>
    </row>
    <row r="42" spans="1:6" x14ac:dyDescent="0.25">
      <c r="A42" s="38"/>
      <c r="B42" t="s">
        <v>66</v>
      </c>
      <c r="C42" s="28">
        <v>17.84</v>
      </c>
      <c r="D42" t="s">
        <v>15</v>
      </c>
      <c r="E42" t="s">
        <v>7</v>
      </c>
    </row>
    <row r="43" spans="1:6" x14ac:dyDescent="0.25">
      <c r="A43" s="38"/>
      <c r="B43" t="s">
        <v>67</v>
      </c>
      <c r="C43" s="8">
        <v>0</v>
      </c>
      <c r="D43" t="s">
        <v>68</v>
      </c>
      <c r="E43" t="s">
        <v>7</v>
      </c>
    </row>
    <row r="44" spans="1:6" x14ac:dyDescent="0.25">
      <c r="A44" s="38"/>
      <c r="B44" t="s">
        <v>161</v>
      </c>
      <c r="C44" s="8">
        <v>1000</v>
      </c>
      <c r="D44" t="s">
        <v>162</v>
      </c>
      <c r="F44" t="s">
        <v>160</v>
      </c>
    </row>
    <row r="45" spans="1:6" x14ac:dyDescent="0.25">
      <c r="A45" s="38"/>
      <c r="B45" t="s">
        <v>21</v>
      </c>
      <c r="C45">
        <v>25</v>
      </c>
      <c r="D45" t="s">
        <v>22</v>
      </c>
      <c r="E45" t="s">
        <v>7</v>
      </c>
    </row>
    <row r="46" spans="1:6" x14ac:dyDescent="0.25">
      <c r="A46" s="38"/>
      <c r="B46" t="s">
        <v>23</v>
      </c>
      <c r="C46">
        <v>5.3</v>
      </c>
      <c r="D46" t="s">
        <v>6</v>
      </c>
      <c r="E46" t="s">
        <v>69</v>
      </c>
    </row>
    <row r="47" spans="1:6" x14ac:dyDescent="0.25">
      <c r="A47" s="39"/>
      <c r="B47" s="2" t="s">
        <v>70</v>
      </c>
      <c r="C47" s="2" t="s">
        <v>71</v>
      </c>
      <c r="D47" s="2"/>
      <c r="E47" s="2" t="s">
        <v>72</v>
      </c>
      <c r="F47" s="2"/>
    </row>
    <row r="48" spans="1:6" x14ac:dyDescent="0.25">
      <c r="A48" s="38" t="s">
        <v>73</v>
      </c>
      <c r="B48" t="s">
        <v>5</v>
      </c>
      <c r="C48">
        <v>99</v>
      </c>
      <c r="D48" t="s">
        <v>6</v>
      </c>
      <c r="E48" t="s">
        <v>7</v>
      </c>
    </row>
    <row r="49" spans="1:6" x14ac:dyDescent="0.25">
      <c r="A49" s="38"/>
      <c r="B49" t="s">
        <v>8</v>
      </c>
      <c r="C49" s="28">
        <v>1080</v>
      </c>
      <c r="D49" t="s">
        <v>15</v>
      </c>
      <c r="E49" t="s">
        <v>7</v>
      </c>
    </row>
    <row r="50" spans="1:6" x14ac:dyDescent="0.25">
      <c r="A50" s="38"/>
      <c r="B50" t="s">
        <v>66</v>
      </c>
      <c r="C50" s="28">
        <v>12.68</v>
      </c>
      <c r="D50" t="s">
        <v>15</v>
      </c>
      <c r="E50" t="s">
        <v>7</v>
      </c>
    </row>
    <row r="51" spans="1:6" x14ac:dyDescent="0.25">
      <c r="A51" s="38"/>
      <c r="B51" t="s">
        <v>67</v>
      </c>
      <c r="C51" s="29">
        <v>5.0000000000000001E-3</v>
      </c>
      <c r="D51" t="s">
        <v>68</v>
      </c>
      <c r="E51" t="s">
        <v>7</v>
      </c>
    </row>
    <row r="52" spans="1:6" x14ac:dyDescent="0.25">
      <c r="A52" s="38"/>
      <c r="B52" t="s">
        <v>161</v>
      </c>
      <c r="C52" s="8">
        <v>1000</v>
      </c>
      <c r="D52" t="s">
        <v>162</v>
      </c>
      <c r="F52" t="s">
        <v>160</v>
      </c>
    </row>
    <row r="53" spans="1:6" x14ac:dyDescent="0.25">
      <c r="A53" s="38"/>
      <c r="B53" t="s">
        <v>21</v>
      </c>
      <c r="C53">
        <v>25</v>
      </c>
      <c r="D53" t="s">
        <v>22</v>
      </c>
      <c r="E53" t="s">
        <v>7</v>
      </c>
    </row>
    <row r="54" spans="1:6" x14ac:dyDescent="0.25">
      <c r="A54" s="38"/>
      <c r="B54" t="s">
        <v>23</v>
      </c>
      <c r="C54">
        <v>5.8</v>
      </c>
      <c r="D54" t="s">
        <v>6</v>
      </c>
      <c r="E54" t="s">
        <v>69</v>
      </c>
    </row>
    <row r="55" spans="1:6" x14ac:dyDescent="0.25">
      <c r="A55" s="39"/>
      <c r="B55" s="2" t="s">
        <v>70</v>
      </c>
      <c r="C55" s="2" t="s">
        <v>71</v>
      </c>
      <c r="D55" s="2"/>
      <c r="E55" s="2" t="s">
        <v>72</v>
      </c>
      <c r="F55" s="2"/>
    </row>
    <row r="56" spans="1:6" x14ac:dyDescent="0.25">
      <c r="A56" s="38" t="s">
        <v>74</v>
      </c>
      <c r="B56" t="s">
        <v>5</v>
      </c>
      <c r="C56">
        <v>87.37</v>
      </c>
      <c r="D56" t="s">
        <v>6</v>
      </c>
      <c r="E56" t="s">
        <v>75</v>
      </c>
    </row>
    <row r="57" spans="1:6" x14ac:dyDescent="0.25">
      <c r="A57" s="38"/>
      <c r="B57" t="s">
        <v>76</v>
      </c>
      <c r="C57">
        <v>0.17</v>
      </c>
      <c r="D57" t="s">
        <v>77</v>
      </c>
      <c r="E57" t="s">
        <v>75</v>
      </c>
    </row>
    <row r="58" spans="1:6" x14ac:dyDescent="0.25">
      <c r="A58" s="37"/>
      <c r="B58" t="s">
        <v>78</v>
      </c>
      <c r="C58">
        <f>C59*4</f>
        <v>424</v>
      </c>
      <c r="D58" t="s">
        <v>15</v>
      </c>
      <c r="E58" t="s">
        <v>79</v>
      </c>
    </row>
    <row r="59" spans="1:6" x14ac:dyDescent="0.25">
      <c r="A59" s="37"/>
      <c r="B59" t="s">
        <v>62</v>
      </c>
      <c r="C59">
        <v>106</v>
      </c>
      <c r="D59" t="s">
        <v>68</v>
      </c>
      <c r="E59" t="s">
        <v>80</v>
      </c>
    </row>
    <row r="60" spans="1:6" x14ac:dyDescent="0.25">
      <c r="A60" s="37"/>
      <c r="B60" t="s">
        <v>66</v>
      </c>
      <c r="C60">
        <v>2.5</v>
      </c>
      <c r="D60" t="s">
        <v>81</v>
      </c>
      <c r="E60" t="s">
        <v>82</v>
      </c>
    </row>
    <row r="61" spans="1:6" x14ac:dyDescent="0.25">
      <c r="A61" s="37"/>
      <c r="B61" t="s">
        <v>83</v>
      </c>
      <c r="C61">
        <v>0.25</v>
      </c>
      <c r="F61" t="s">
        <v>165</v>
      </c>
    </row>
    <row r="62" spans="1:6" x14ac:dyDescent="0.25">
      <c r="A62" s="37"/>
      <c r="B62" t="s">
        <v>21</v>
      </c>
      <c r="C62">
        <v>15</v>
      </c>
      <c r="D62" t="s">
        <v>22</v>
      </c>
      <c r="E62" t="s">
        <v>84</v>
      </c>
    </row>
    <row r="63" spans="1:6" x14ac:dyDescent="0.25">
      <c r="A63" s="41"/>
      <c r="B63" s="2" t="s">
        <v>23</v>
      </c>
      <c r="C63" s="2">
        <v>10</v>
      </c>
      <c r="D63" s="2" t="s">
        <v>6</v>
      </c>
      <c r="E63" s="2" t="s">
        <v>85</v>
      </c>
      <c r="F63" s="2"/>
    </row>
    <row r="64" spans="1:6" x14ac:dyDescent="0.25">
      <c r="A64" s="40" t="s">
        <v>86</v>
      </c>
      <c r="B64" t="s">
        <v>87</v>
      </c>
      <c r="C64">
        <v>0.5</v>
      </c>
      <c r="D64" t="s">
        <v>88</v>
      </c>
      <c r="E64" t="s">
        <v>89</v>
      </c>
    </row>
    <row r="65" spans="1:6" x14ac:dyDescent="0.25">
      <c r="A65" s="38"/>
      <c r="B65" t="s">
        <v>90</v>
      </c>
      <c r="C65">
        <v>1.75</v>
      </c>
      <c r="D65" t="s">
        <v>91</v>
      </c>
      <c r="E65" t="s">
        <v>89</v>
      </c>
    </row>
    <row r="66" spans="1:6" x14ac:dyDescent="0.25">
      <c r="A66" s="37"/>
      <c r="B66" t="s">
        <v>8</v>
      </c>
      <c r="C66">
        <v>7000</v>
      </c>
      <c r="D66" t="s">
        <v>92</v>
      </c>
      <c r="E66" t="s">
        <v>89</v>
      </c>
      <c r="F66" t="s">
        <v>93</v>
      </c>
    </row>
    <row r="67" spans="1:6" x14ac:dyDescent="0.25">
      <c r="A67" s="37"/>
      <c r="B67" t="s">
        <v>9</v>
      </c>
      <c r="C67">
        <v>5</v>
      </c>
      <c r="D67" t="s">
        <v>94</v>
      </c>
      <c r="E67" t="s">
        <v>89</v>
      </c>
    </row>
    <row r="68" spans="1:6" x14ac:dyDescent="0.25">
      <c r="A68" s="37"/>
      <c r="B68" t="s">
        <v>21</v>
      </c>
      <c r="C68">
        <v>15</v>
      </c>
      <c r="D68" t="s">
        <v>22</v>
      </c>
      <c r="E68" t="s">
        <v>89</v>
      </c>
    </row>
    <row r="69" spans="1:6" s="2" customFormat="1" x14ac:dyDescent="0.25">
      <c r="A69" s="41"/>
      <c r="B69" s="2" t="s">
        <v>23</v>
      </c>
      <c r="C69" s="2">
        <v>7</v>
      </c>
      <c r="D69" s="2" t="s">
        <v>95</v>
      </c>
      <c r="E69" s="2" t="s">
        <v>89</v>
      </c>
    </row>
    <row r="70" spans="1:6" x14ac:dyDescent="0.25">
      <c r="A70" s="38" t="s">
        <v>96</v>
      </c>
      <c r="B70" t="s">
        <v>5</v>
      </c>
      <c r="C70">
        <v>370</v>
      </c>
      <c r="D70" t="s">
        <v>95</v>
      </c>
      <c r="E70" t="s">
        <v>97</v>
      </c>
    </row>
    <row r="71" spans="1:6" x14ac:dyDescent="0.25">
      <c r="A71" s="38"/>
      <c r="B71" t="s">
        <v>87</v>
      </c>
      <c r="C71">
        <v>0.27</v>
      </c>
      <c r="D71" t="s">
        <v>98</v>
      </c>
      <c r="E71" t="s">
        <v>99</v>
      </c>
    </row>
    <row r="72" spans="1:6" x14ac:dyDescent="0.25">
      <c r="A72" s="37"/>
      <c r="B72" t="s">
        <v>8</v>
      </c>
      <c r="C72">
        <v>700</v>
      </c>
      <c r="D72" t="s">
        <v>100</v>
      </c>
      <c r="E72" t="s">
        <v>101</v>
      </c>
    </row>
    <row r="73" spans="1:6" x14ac:dyDescent="0.25">
      <c r="A73" s="37"/>
      <c r="B73" t="s">
        <v>9</v>
      </c>
      <c r="C73">
        <v>2</v>
      </c>
      <c r="D73" t="s">
        <v>94</v>
      </c>
      <c r="E73" t="s">
        <v>102</v>
      </c>
    </row>
    <row r="74" spans="1:6" x14ac:dyDescent="0.25">
      <c r="A74" s="37"/>
      <c r="B74" t="s">
        <v>21</v>
      </c>
      <c r="C74">
        <v>20</v>
      </c>
      <c r="D74" t="s">
        <v>22</v>
      </c>
      <c r="E74" t="s">
        <v>103</v>
      </c>
    </row>
    <row r="75" spans="1:6" s="2" customFormat="1" x14ac:dyDescent="0.25">
      <c r="A75" s="41"/>
      <c r="B75" s="2" t="s">
        <v>23</v>
      </c>
      <c r="C75" s="2">
        <v>5</v>
      </c>
      <c r="D75" s="2" t="s">
        <v>95</v>
      </c>
      <c r="E75" s="2" t="s">
        <v>104</v>
      </c>
    </row>
    <row r="76" spans="1:6" x14ac:dyDescent="0.25">
      <c r="A76" s="42" t="s">
        <v>105</v>
      </c>
      <c r="B76" t="s">
        <v>106</v>
      </c>
      <c r="C76">
        <v>98</v>
      </c>
      <c r="D76" t="s">
        <v>6</v>
      </c>
      <c r="E76" t="s">
        <v>107</v>
      </c>
    </row>
    <row r="77" spans="1:6" x14ac:dyDescent="0.25">
      <c r="A77" s="37"/>
      <c r="B77" t="s">
        <v>108</v>
      </c>
      <c r="C77">
        <v>98</v>
      </c>
      <c r="D77" t="s">
        <v>6</v>
      </c>
      <c r="E77" t="s">
        <v>107</v>
      </c>
    </row>
    <row r="78" spans="1:6" x14ac:dyDescent="0.25">
      <c r="A78" s="37"/>
      <c r="B78" t="s">
        <v>76</v>
      </c>
      <c r="C78">
        <v>0.55000000000000004</v>
      </c>
      <c r="D78" t="s">
        <v>109</v>
      </c>
      <c r="E78" t="s">
        <v>107</v>
      </c>
    </row>
    <row r="79" spans="1:6" x14ac:dyDescent="0.25">
      <c r="A79" s="37"/>
      <c r="B79" t="s">
        <v>8</v>
      </c>
      <c r="C79">
        <v>2.83</v>
      </c>
      <c r="D79" t="s">
        <v>110</v>
      </c>
      <c r="E79" t="s">
        <v>107</v>
      </c>
    </row>
    <row r="80" spans="1:6" x14ac:dyDescent="0.25">
      <c r="A80" s="37"/>
      <c r="B80" t="s">
        <v>9</v>
      </c>
      <c r="C80">
        <v>3</v>
      </c>
      <c r="D80" t="s">
        <v>94</v>
      </c>
      <c r="E80" t="s">
        <v>107</v>
      </c>
    </row>
    <row r="81" spans="1:7" x14ac:dyDescent="0.25">
      <c r="A81" s="37"/>
      <c r="B81" t="s">
        <v>21</v>
      </c>
      <c r="C81">
        <v>30</v>
      </c>
      <c r="F81" t="s">
        <v>164</v>
      </c>
    </row>
    <row r="82" spans="1:7" s="2" customFormat="1" x14ac:dyDescent="0.25">
      <c r="A82" s="41"/>
      <c r="B82" s="2" t="s">
        <v>23</v>
      </c>
      <c r="C82" s="2">
        <v>5</v>
      </c>
      <c r="D82" s="2" t="s">
        <v>6</v>
      </c>
      <c r="E82" s="2" t="s">
        <v>107</v>
      </c>
    </row>
    <row r="83" spans="1:7" x14ac:dyDescent="0.25">
      <c r="A83" s="40" t="s">
        <v>111</v>
      </c>
      <c r="B83" t="s">
        <v>112</v>
      </c>
      <c r="C83" s="5">
        <v>0.6291315208314805</v>
      </c>
      <c r="D83" t="s">
        <v>113</v>
      </c>
      <c r="E83" t="s">
        <v>114</v>
      </c>
    </row>
    <row r="84" spans="1:7" x14ac:dyDescent="0.25">
      <c r="A84" s="38"/>
      <c r="B84" t="s">
        <v>115</v>
      </c>
      <c r="C84" s="5">
        <v>4.8635236287359067</v>
      </c>
      <c r="D84" t="s">
        <v>113</v>
      </c>
      <c r="E84" t="s">
        <v>114</v>
      </c>
    </row>
    <row r="85" spans="1:7" s="9" customFormat="1" x14ac:dyDescent="0.25">
      <c r="A85" s="38"/>
      <c r="B85" s="9" t="s">
        <v>116</v>
      </c>
      <c r="C85" s="30">
        <v>7.6426799880135672</v>
      </c>
      <c r="D85" s="9" t="s">
        <v>113</v>
      </c>
      <c r="E85" s="9" t="s">
        <v>114</v>
      </c>
    </row>
    <row r="86" spans="1:7" x14ac:dyDescent="0.25">
      <c r="A86" s="38"/>
      <c r="B86" s="9" t="s">
        <v>117</v>
      </c>
      <c r="C86" s="30">
        <v>289032.2613648767</v>
      </c>
      <c r="D86" s="9" t="s">
        <v>118</v>
      </c>
      <c r="E86" s="9" t="s">
        <v>119</v>
      </c>
      <c r="F86" s="5">
        <f>C86*0.1/1000</f>
        <v>28.903226136487671</v>
      </c>
      <c r="G86" t="s">
        <v>120</v>
      </c>
    </row>
    <row r="87" spans="1:7" x14ac:dyDescent="0.25">
      <c r="A87" s="38"/>
      <c r="B87" t="s">
        <v>121</v>
      </c>
      <c r="C87" s="5">
        <f>C86*0.1/1000</f>
        <v>28.903226136487671</v>
      </c>
      <c r="D87" t="s">
        <v>122</v>
      </c>
      <c r="E87" t="s">
        <v>119</v>
      </c>
      <c r="F87" s="5"/>
    </row>
    <row r="88" spans="1:7" x14ac:dyDescent="0.25">
      <c r="A88" s="38"/>
      <c r="B88" t="s">
        <v>87</v>
      </c>
      <c r="C88" s="5">
        <v>10.088810893219412</v>
      </c>
      <c r="D88" t="s">
        <v>122</v>
      </c>
      <c r="E88" t="s">
        <v>114</v>
      </c>
    </row>
    <row r="89" spans="1:7" x14ac:dyDescent="0.25">
      <c r="A89" s="38"/>
      <c r="B89" t="s">
        <v>123</v>
      </c>
      <c r="C89" s="5">
        <v>0.38758124060701954</v>
      </c>
      <c r="D89" t="s">
        <v>124</v>
      </c>
      <c r="E89" t="s">
        <v>114</v>
      </c>
    </row>
    <row r="90" spans="1:7" x14ac:dyDescent="0.25">
      <c r="A90" s="38"/>
      <c r="B90" t="s">
        <v>8</v>
      </c>
      <c r="C90" s="5">
        <v>2.44</v>
      </c>
      <c r="D90" t="s">
        <v>125</v>
      </c>
      <c r="E90" t="s">
        <v>126</v>
      </c>
    </row>
    <row r="91" spans="1:7" x14ac:dyDescent="0.25">
      <c r="A91" s="38"/>
      <c r="B91" t="s">
        <v>9</v>
      </c>
      <c r="C91">
        <v>3</v>
      </c>
      <c r="D91" t="s">
        <v>18</v>
      </c>
      <c r="E91" t="s">
        <v>126</v>
      </c>
    </row>
    <row r="92" spans="1:7" x14ac:dyDescent="0.25">
      <c r="A92" s="38"/>
      <c r="B92" t="s">
        <v>21</v>
      </c>
      <c r="C92" s="5">
        <v>20</v>
      </c>
      <c r="D92" t="s">
        <v>22</v>
      </c>
      <c r="E92" t="s">
        <v>127</v>
      </c>
    </row>
    <row r="93" spans="1:7" s="2" customFormat="1" x14ac:dyDescent="0.25">
      <c r="A93" s="39"/>
      <c r="B93" s="2" t="s">
        <v>23</v>
      </c>
      <c r="C93" s="2">
        <v>7</v>
      </c>
      <c r="D93" s="2" t="s">
        <v>6</v>
      </c>
      <c r="E93" s="2" t="s">
        <v>127</v>
      </c>
    </row>
    <row r="94" spans="1:7" x14ac:dyDescent="0.25">
      <c r="A94" s="34" t="s">
        <v>166</v>
      </c>
      <c r="B94" t="s">
        <v>112</v>
      </c>
      <c r="C94" s="5">
        <f>31.6/68.7</f>
        <v>0.45997088791848617</v>
      </c>
      <c r="D94" t="s">
        <v>171</v>
      </c>
      <c r="E94" t="s">
        <v>174</v>
      </c>
    </row>
    <row r="95" spans="1:7" x14ac:dyDescent="0.25">
      <c r="A95" s="35"/>
      <c r="B95" t="s">
        <v>115</v>
      </c>
      <c r="C95" s="5">
        <f>174.2/68.7</f>
        <v>2.5356622998544394</v>
      </c>
      <c r="D95" t="s">
        <v>171</v>
      </c>
      <c r="E95" t="s">
        <v>174</v>
      </c>
    </row>
    <row r="96" spans="1:7" s="32" customFormat="1" x14ac:dyDescent="0.25">
      <c r="A96" s="35"/>
      <c r="B96" s="32" t="s">
        <v>167</v>
      </c>
      <c r="C96" s="33">
        <f>140.8/68.7</f>
        <v>2.049490538573508</v>
      </c>
      <c r="D96" s="32" t="s">
        <v>172</v>
      </c>
      <c r="E96" s="32" t="s">
        <v>174</v>
      </c>
    </row>
    <row r="97" spans="1:6" s="32" customFormat="1" x14ac:dyDescent="0.25">
      <c r="A97" s="35"/>
      <c r="B97" s="32" t="s">
        <v>168</v>
      </c>
      <c r="C97" s="33">
        <f>4.3/68.7</f>
        <v>6.2590975254730702E-2</v>
      </c>
      <c r="D97" s="32" t="s">
        <v>172</v>
      </c>
      <c r="E97" s="32" t="s">
        <v>174</v>
      </c>
    </row>
    <row r="98" spans="1:6" s="32" customFormat="1" x14ac:dyDescent="0.25">
      <c r="A98" s="35"/>
      <c r="B98" s="32" t="s">
        <v>169</v>
      </c>
      <c r="C98" s="33">
        <f>1.7/68.7</f>
        <v>2.4745269286754003E-2</v>
      </c>
      <c r="D98" s="32" t="s">
        <v>172</v>
      </c>
      <c r="E98" s="32" t="s">
        <v>174</v>
      </c>
    </row>
    <row r="99" spans="1:6" s="32" customFormat="1" x14ac:dyDescent="0.25">
      <c r="A99" s="35"/>
      <c r="B99" s="32" t="s">
        <v>87</v>
      </c>
      <c r="C99" s="33">
        <f>24.5/68</f>
        <v>0.36029411764705882</v>
      </c>
      <c r="D99" s="32" t="s">
        <v>173</v>
      </c>
      <c r="E99" s="32" t="s">
        <v>174</v>
      </c>
    </row>
    <row r="100" spans="1:6" s="32" customFormat="1" x14ac:dyDescent="0.25">
      <c r="A100" s="35"/>
      <c r="B100" s="32" t="s">
        <v>170</v>
      </c>
      <c r="C100" s="33">
        <f>277.8/68.7</f>
        <v>4.0436681222707422</v>
      </c>
      <c r="D100" s="32" t="s">
        <v>171</v>
      </c>
      <c r="E100" s="32" t="s">
        <v>174</v>
      </c>
    </row>
    <row r="101" spans="1:6" x14ac:dyDescent="0.25">
      <c r="A101" s="35"/>
      <c r="B101" t="s">
        <v>8</v>
      </c>
      <c r="C101" s="24">
        <f>500*15.4/1000</f>
        <v>7.7</v>
      </c>
      <c r="D101" t="s">
        <v>177</v>
      </c>
      <c r="E101" t="s">
        <v>179</v>
      </c>
      <c r="F101" t="s">
        <v>178</v>
      </c>
    </row>
    <row r="102" spans="1:6" x14ac:dyDescent="0.25">
      <c r="A102" s="35"/>
      <c r="B102" t="s">
        <v>9</v>
      </c>
      <c r="C102">
        <v>5</v>
      </c>
      <c r="D102" t="s">
        <v>33</v>
      </c>
      <c r="E102" t="s">
        <v>175</v>
      </c>
      <c r="F102" s="31" t="s">
        <v>176</v>
      </c>
    </row>
    <row r="103" spans="1:6" x14ac:dyDescent="0.25">
      <c r="A103" s="35"/>
      <c r="B103" t="s">
        <v>21</v>
      </c>
      <c r="C103">
        <v>20</v>
      </c>
      <c r="D103" t="s">
        <v>22</v>
      </c>
      <c r="E103" t="s">
        <v>174</v>
      </c>
    </row>
    <row r="104" spans="1:6" x14ac:dyDescent="0.25">
      <c r="A104" s="35"/>
      <c r="B104" t="s">
        <v>23</v>
      </c>
      <c r="C104">
        <v>6</v>
      </c>
      <c r="D104" t="s">
        <v>6</v>
      </c>
      <c r="E104" t="s">
        <v>175</v>
      </c>
      <c r="F104" s="31" t="s">
        <v>180</v>
      </c>
    </row>
  </sheetData>
  <mergeCells count="14">
    <mergeCell ref="A94:A104"/>
    <mergeCell ref="A2:A7"/>
    <mergeCell ref="A21:A28"/>
    <mergeCell ref="A64:A69"/>
    <mergeCell ref="A70:A75"/>
    <mergeCell ref="A56:A63"/>
    <mergeCell ref="A40:A47"/>
    <mergeCell ref="A48:A55"/>
    <mergeCell ref="A34:A39"/>
    <mergeCell ref="A83:A93"/>
    <mergeCell ref="A8:A13"/>
    <mergeCell ref="A14:A20"/>
    <mergeCell ref="A29:A33"/>
    <mergeCell ref="A76:A82"/>
  </mergeCells>
  <phoneticPr fontId="6" type="noConversion"/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C858F-29A6-46A1-89FD-4CFF4648D665}">
  <dimension ref="A1:B21"/>
  <sheetViews>
    <sheetView topLeftCell="A10" workbookViewId="0">
      <selection activeCell="B27" sqref="B27"/>
    </sheetView>
  </sheetViews>
  <sheetFormatPr baseColWidth="10" defaultColWidth="11.54296875" defaultRowHeight="13.8" x14ac:dyDescent="0.25"/>
  <sheetData>
    <row r="1" spans="1:1" x14ac:dyDescent="0.25">
      <c r="A1" t="s">
        <v>75</v>
      </c>
    </row>
    <row r="21" spans="1:2" x14ac:dyDescent="0.25">
      <c r="A21" t="s">
        <v>84</v>
      </c>
      <c r="B21" t="s">
        <v>128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A509C-E583-4E35-9863-87BFDF51996A}">
  <dimension ref="A1:J15"/>
  <sheetViews>
    <sheetView workbookViewId="0">
      <selection activeCell="F23" sqref="F23"/>
    </sheetView>
  </sheetViews>
  <sheetFormatPr baseColWidth="10" defaultColWidth="11.54296875" defaultRowHeight="13.8" x14ac:dyDescent="0.25"/>
  <cols>
    <col min="1" max="1" width="20.453125" bestFit="1" customWidth="1"/>
  </cols>
  <sheetData>
    <row r="1" spans="1:10" ht="14.4" thickBot="1" x14ac:dyDescent="0.3">
      <c r="A1" s="10" t="s">
        <v>8</v>
      </c>
      <c r="B1" s="11" t="s">
        <v>129</v>
      </c>
      <c r="C1" s="12" t="s">
        <v>130</v>
      </c>
      <c r="D1" s="12" t="s">
        <v>131</v>
      </c>
      <c r="E1" s="12" t="s">
        <v>132</v>
      </c>
      <c r="F1" s="12" t="s">
        <v>133</v>
      </c>
      <c r="G1" s="13" t="s">
        <v>134</v>
      </c>
      <c r="I1" s="25" t="s">
        <v>135</v>
      </c>
    </row>
    <row r="2" spans="1:10" x14ac:dyDescent="0.25">
      <c r="A2" s="14" t="s">
        <v>136</v>
      </c>
      <c r="B2" s="15" t="s">
        <v>137</v>
      </c>
      <c r="C2" s="16">
        <v>330</v>
      </c>
      <c r="D2" s="16">
        <v>283</v>
      </c>
      <c r="E2" s="16">
        <v>310</v>
      </c>
      <c r="F2" s="16">
        <v>261</v>
      </c>
      <c r="G2" s="17">
        <v>337</v>
      </c>
      <c r="I2" t="s">
        <v>138</v>
      </c>
    </row>
    <row r="3" spans="1:10" x14ac:dyDescent="0.25">
      <c r="A3" s="14" t="s">
        <v>139</v>
      </c>
      <c r="B3" s="15" t="s">
        <v>137</v>
      </c>
      <c r="C3" s="16">
        <v>734</v>
      </c>
      <c r="D3" s="16">
        <v>698</v>
      </c>
      <c r="E3" s="16">
        <v>707</v>
      </c>
      <c r="F3" s="16">
        <v>595</v>
      </c>
      <c r="G3" s="17">
        <v>535</v>
      </c>
    </row>
    <row r="4" spans="1:10" x14ac:dyDescent="0.25">
      <c r="A4" s="14" t="s">
        <v>140</v>
      </c>
      <c r="B4" s="15" t="s">
        <v>137</v>
      </c>
      <c r="C4" s="16">
        <v>416</v>
      </c>
      <c r="D4" s="16">
        <v>355</v>
      </c>
      <c r="E4" s="16">
        <v>347</v>
      </c>
      <c r="F4" s="16">
        <v>305</v>
      </c>
      <c r="G4" s="17">
        <v>306</v>
      </c>
    </row>
    <row r="5" spans="1:10" x14ac:dyDescent="0.25">
      <c r="A5" s="14" t="s">
        <v>141</v>
      </c>
      <c r="B5" s="15" t="s">
        <v>137</v>
      </c>
      <c r="C5" s="16">
        <v>115</v>
      </c>
      <c r="D5" s="16">
        <v>75</v>
      </c>
      <c r="E5" s="16">
        <v>82</v>
      </c>
      <c r="F5" s="16">
        <v>79</v>
      </c>
      <c r="G5" s="17">
        <v>96</v>
      </c>
      <c r="I5" t="s">
        <v>142</v>
      </c>
    </row>
    <row r="6" spans="1:10" x14ac:dyDescent="0.25">
      <c r="A6" s="14" t="s">
        <v>143</v>
      </c>
      <c r="B6" s="15" t="s">
        <v>137</v>
      </c>
      <c r="C6" s="16">
        <v>223</v>
      </c>
      <c r="D6" s="16">
        <v>86</v>
      </c>
      <c r="E6" s="16">
        <v>118</v>
      </c>
      <c r="F6" s="16">
        <v>164</v>
      </c>
      <c r="G6" s="17">
        <v>169</v>
      </c>
      <c r="I6" t="s">
        <v>144</v>
      </c>
    </row>
    <row r="7" spans="1:10" x14ac:dyDescent="0.25">
      <c r="A7" s="14" t="s">
        <v>145</v>
      </c>
      <c r="B7" s="15" t="s">
        <v>137</v>
      </c>
      <c r="C7" s="16">
        <v>32</v>
      </c>
      <c r="D7" s="16">
        <v>15</v>
      </c>
      <c r="E7" s="16">
        <v>18</v>
      </c>
      <c r="F7" s="16">
        <v>22</v>
      </c>
      <c r="G7" s="17">
        <v>24</v>
      </c>
      <c r="I7" s="16">
        <v>114.5</v>
      </c>
      <c r="J7" t="s">
        <v>146</v>
      </c>
    </row>
    <row r="8" spans="1:10" x14ac:dyDescent="0.25">
      <c r="A8" s="14" t="s">
        <v>147</v>
      </c>
      <c r="B8" s="15" t="s">
        <v>137</v>
      </c>
      <c r="C8" s="18">
        <v>14.76</v>
      </c>
      <c r="D8" s="18">
        <v>7.8</v>
      </c>
      <c r="E8" s="18">
        <v>9.0299999999999994</v>
      </c>
      <c r="F8" s="18">
        <v>9.6199999999999992</v>
      </c>
      <c r="G8" s="19">
        <v>11.46</v>
      </c>
    </row>
    <row r="9" spans="1:10" x14ac:dyDescent="0.25">
      <c r="A9" s="14" t="s">
        <v>148</v>
      </c>
      <c r="B9" s="15" t="s">
        <v>137</v>
      </c>
      <c r="C9" s="18">
        <v>6</v>
      </c>
      <c r="D9" s="18">
        <v>5.5</v>
      </c>
      <c r="E9" s="18">
        <v>3</v>
      </c>
      <c r="F9" s="18">
        <v>4.3</v>
      </c>
      <c r="G9" s="19">
        <v>4.2</v>
      </c>
    </row>
    <row r="10" spans="1:10" ht="14.4" thickBot="1" x14ac:dyDescent="0.3">
      <c r="A10" s="20" t="s">
        <v>149</v>
      </c>
      <c r="B10" s="21" t="s">
        <v>137</v>
      </c>
      <c r="C10" s="22">
        <v>1871</v>
      </c>
      <c r="D10" s="22">
        <v>1524</v>
      </c>
      <c r="E10" s="22">
        <v>1595</v>
      </c>
      <c r="F10" s="22">
        <v>1440</v>
      </c>
      <c r="G10" s="23">
        <v>1483</v>
      </c>
    </row>
    <row r="12" spans="1:10" x14ac:dyDescent="0.25">
      <c r="C12" s="8">
        <f>SUM(C2:C9)</f>
        <v>1870.76</v>
      </c>
      <c r="D12" s="24">
        <f t="shared" ref="D12:G12" si="0">SUM(D2:D9)</f>
        <v>1525.3</v>
      </c>
      <c r="E12" s="8">
        <f t="shared" si="0"/>
        <v>1594.03</v>
      </c>
      <c r="F12" s="8">
        <f t="shared" si="0"/>
        <v>1439.9199999999998</v>
      </c>
      <c r="G12" s="8">
        <f t="shared" si="0"/>
        <v>1482.66</v>
      </c>
    </row>
    <row r="14" spans="1:10" x14ac:dyDescent="0.25">
      <c r="E14" t="s">
        <v>150</v>
      </c>
      <c r="F14" s="8">
        <f>SUM(F5:F9)</f>
        <v>278.92</v>
      </c>
      <c r="G14" t="s">
        <v>151</v>
      </c>
    </row>
    <row r="15" spans="1:10" x14ac:dyDescent="0.25">
      <c r="E15" t="s">
        <v>152</v>
      </c>
      <c r="F15" s="5">
        <f>F14/I7</f>
        <v>2.4359825327510918</v>
      </c>
      <c r="G15" t="s">
        <v>153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B4834AD9B6FF4D8A320E700644BA31" ma:contentTypeVersion="2" ma:contentTypeDescription="Ein neues Dokument erstellen." ma:contentTypeScope="" ma:versionID="8f1b4731836b7e887255e55104060c3b">
  <xsd:schema xmlns:xsd="http://www.w3.org/2001/XMLSchema" xmlns:xs="http://www.w3.org/2001/XMLSchema" xmlns:p="http://schemas.microsoft.com/office/2006/metadata/properties" xmlns:ns2="d5c1c81e-ce95-490c-8df0-3cd393a1bb65" targetNamespace="http://schemas.microsoft.com/office/2006/metadata/properties" ma:root="true" ma:fieldsID="125f9e0c6965a1af677ee2dd258b4bbb" ns2:_="">
    <xsd:import namespace="d5c1c81e-ce95-490c-8df0-3cd393a1bb6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c1c81e-ce95-490c-8df0-3cd393a1bb6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8B5097-37CB-4218-92BD-42BA855E86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c1c81e-ce95-490c-8df0-3cd393a1bb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35F337-102B-423E-958F-A9D2CD1B46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E71838-6621-4226-91CF-F25550A3778E}">
  <ds:schemaRefs>
    <ds:schemaRef ds:uri="http://schemas.microsoft.com/office/2006/documentManagement/types"/>
    <ds:schemaRef ds:uri="d5c1c81e-ce95-490c-8df0-3cd393a1bb65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Übersicht</vt:lpstr>
      <vt:lpstr>Batterie</vt:lpstr>
      <vt:lpstr>FT</vt:lpstr>
    </vt:vector>
  </TitlesOfParts>
  <Manager/>
  <Company>OTH Regensburg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Heberl</dc:creator>
  <cp:keywords/>
  <dc:description/>
  <cp:lastModifiedBy>Timon Geiß</cp:lastModifiedBy>
  <cp:revision/>
  <dcterms:created xsi:type="dcterms:W3CDTF">2024-08-28T09:28:32Z</dcterms:created>
  <dcterms:modified xsi:type="dcterms:W3CDTF">2025-11-19T06:06:38Z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0x010100C8B4834AD9B6FF4D8A320E700644BA31</vt:lpwstr>
  </property>
</Properties>
</file>