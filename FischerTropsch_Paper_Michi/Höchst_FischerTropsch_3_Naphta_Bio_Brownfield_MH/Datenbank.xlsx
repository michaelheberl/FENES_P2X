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FischerTropsch_Paper_Michi\Höchst_FischerTropsch_3_Naphta_Bio_Brownfield_MH\"/>
    </mc:Choice>
  </mc:AlternateContent>
  <xr:revisionPtr revIDLastSave="0" documentId="13_ncr:1_{A5A02788-07F2-4F25-8EF7-B85856863417}" xr6:coauthVersionLast="47" xr6:coauthVersionMax="47" xr10:uidLastSave="{00000000-0000-0000-0000-000000000000}"/>
  <bookViews>
    <workbookView xWindow="-57720" yWindow="-4455" windowWidth="29040" windowHeight="15720" xr2:uid="{00000000-000D-0000-FFFF-FFFF00000000}"/>
  </bookViews>
  <sheets>
    <sheet name="Datenauswahl" sheetId="1" r:id="rId1"/>
    <sheet name="Ergebniss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8" i="1" l="1"/>
  <c r="E4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tc={A66B6FDD-7E3A-402B-8E6B-7073C79B9436}</author>
    <author>tc={F7866A31-18E0-48C6-B567-67C836D4C8B7}</author>
    <author>Timon Geiß</author>
    <author>tc={44739194-014B-4694-92C5-E2CDD3BBFC02}</author>
    <author>tc={24965C23-66A2-443D-B1F3-FDFF8EFF87E6}</author>
  </authors>
  <commentList>
    <comment ref="E19" authorId="0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43" authorId="1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53" authorId="2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4" authorId="2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5" authorId="2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77" authorId="3" shapeId="0" xr:uid="{44739194-014B-4694-92C5-E2CDD3BBFC0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https://www.statista.com/statistics/1171139/price-naphtha-forecast-globally/</t>
      </text>
    </comment>
    <comment ref="E78" authorId="4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https://de.statista.com/statistik/daten/studie/1458969/umfrage/preisentwicklung-alternative-kraftstoffe-kerosin/
2500 dollar/t umgerechnet in euro 2200</t>
      </text>
    </comment>
  </commentList>
</comments>
</file>

<file path=xl/sharedStrings.xml><?xml version="1.0" encoding="utf-8"?>
<sst xmlns="http://schemas.openxmlformats.org/spreadsheetml/2006/main" count="682" uniqueCount="403">
  <si>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</si>
  <si>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</si>
  <si>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</si>
  <si>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</si>
  <si>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</si>
  <si>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</si>
  <si>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</si>
  <si>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</si>
  <si>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</si>
  <si>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</si>
  <si>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</si>
  <si>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</si>
  <si>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</si>
  <si>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</si>
  <si>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</si>
  <si>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</si>
  <si>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</si>
  <si>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</si>
  <si>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</si>
  <si>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</si>
  <si>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</si>
  <si>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</si>
  <si>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</si>
  <si>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</si>
  <si>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</si>
  <si>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</si>
  <si>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</si>
  <si>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</si>
  <si>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</si>
  <si>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</si>
  <si>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</si>
  <si>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</si>
  <si>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</si>
  <si>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</si>
  <si>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</si>
  <si>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</si>
  <si>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</si>
  <si>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</si>
  <si>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</si>
  <si>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</si>
  <si>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</si>
  <si>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</si>
  <si>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</si>
  <si>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</si>
  <si>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</si>
  <si>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</si>
  <si>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</si>
  <si>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</si>
  <si>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</si>
  <si>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</si>
  <si>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</si>
  <si>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</si>
  <si>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</si>
  <si>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</si>
  <si>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</si>
  <si>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</si>
  <si>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</si>
  <si>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</si>
  <si>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</si>
  <si>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</si>
  <si>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</si>
  <si>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</si>
  <si>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</si>
  <si>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</si>
  <si>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</si>
  <si>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</si>
  <si>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</si>
  <si>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</si>
  <si>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</si>
  <si>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</si>
  <si>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</si>
  <si>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</si>
  <si>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</si>
  <si>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</si>
  <si>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</si>
  <si>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</si>
  <si>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</si>
  <si>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</si>
  <si>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</si>
  <si>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</si>
  <si>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</si>
  <si>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</si>
  <si>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</si>
  <si>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</si>
  <si>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</si>
  <si>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</si>
  <si>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</si>
  <si>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</si>
  <si>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</si>
  <si>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</si>
  <si>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</si>
  <si>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</si>
  <si>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</si>
  <si>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</si>
  <si>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</si>
  <si>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</si>
  <si>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</si>
  <si>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</si>
  <si>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</si>
  <si>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</si>
  <si>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</si>
  <si>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</si>
  <si>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</si>
  <si>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</si>
  <si>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</si>
  <si>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</si>
  <si>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</si>
  <si>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</si>
  <si>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</si>
  <si>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</si>
  <si>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</si>
  <si>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</si>
  <si>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</si>
  <si>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</si>
  <si>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</si>
  <si>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</si>
  <si>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</si>
  <si>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</si>
  <si>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</si>
  <si>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</si>
  <si>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</si>
  <si>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</si>
  <si>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</si>
  <si>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</si>
  <si>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</si>
  <si>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</si>
  <si>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</si>
  <si>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</si>
  <si>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</si>
  <si>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</si>
  <si>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</si>
  <si>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</si>
  <si>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</si>
  <si>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</si>
  <si>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</si>
  <si>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</si>
  <si>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</si>
  <si>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</si>
  <si>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</si>
  <si>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</si>
  <si>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</si>
  <si>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</si>
  <si>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</si>
  <si>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</si>
  <si>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</si>
  <si>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</si>
  <si>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</si>
  <si>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</si>
  <si>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</si>
  <si>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</si>
  <si>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</si>
  <si>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</si>
  <si>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</si>
  <si>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</si>
  <si>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</si>
  <si>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</si>
  <si>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</si>
  <si>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</si>
  <si>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</si>
  <si>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</si>
  <si>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</si>
  <si>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</si>
  <si>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</si>
  <si>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</si>
  <si>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</si>
  <si>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</si>
  <si>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</si>
  <si>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</si>
  <si>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</si>
  <si>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</si>
  <si>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</si>
  <si>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</si>
  <si>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</si>
  <si>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</si>
  <si>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</si>
  <si>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</si>
  <si>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</si>
  <si>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</si>
  <si>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</si>
  <si>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</si>
  <si>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</si>
  <si>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</si>
  <si>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</si>
  <si>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</si>
  <si>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</si>
  <si>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</si>
  <si>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</si>
  <si>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</si>
  <si>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</si>
  <si>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</si>
  <si>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</si>
  <si>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</si>
  <si>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</si>
  <si>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</si>
  <si>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</si>
  <si>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</si>
  <si>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</si>
  <si>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</si>
  <si>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</si>
  <si>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</si>
  <si>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</si>
  <si>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</si>
  <si>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</si>
  <si>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</si>
  <si>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</si>
  <si>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</si>
  <si>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</si>
  <si>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</si>
  <si>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</si>
  <si>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</si>
  <si>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</si>
  <si>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</si>
  <si>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</si>
  <si>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</si>
  <si>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</si>
  <si>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</si>
  <si>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</si>
  <si>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</si>
  <si>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</si>
  <si>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</si>
  <si>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</si>
  <si>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</si>
  <si>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</si>
  <si>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</si>
  <si>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</si>
  <si>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</si>
  <si>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</si>
  <si>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kWh/kg_CO2</t>
  </si>
  <si>
    <t>€/kg_CO2 *h</t>
  </si>
  <si>
    <t>Kohlenstoffdioxidbedarf Mengenverhältnis</t>
  </si>
  <si>
    <t>Kohlendioxidbedarf</t>
  </si>
  <si>
    <t>kg_CO2/a</t>
  </si>
  <si>
    <t>Kohlendioxidproduktion</t>
  </si>
  <si>
    <t>Levelized Cost of Carbon</t>
  </si>
  <si>
    <t>Gesamtkosten pro kg Kohlendioxid</t>
  </si>
  <si>
    <t>calc_cost_co2</t>
  </si>
  <si>
    <t>Heatpump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</si>
  <si>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</si>
  <si>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</si>
  <si>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</si>
  <si>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</si>
  <si>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</si>
  <si>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</si>
  <si>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</si>
  <si>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</si>
  <si>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</si>
  <si>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</si>
  <si>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</si>
  <si>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</si>
  <si>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</si>
  <si>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</si>
  <si>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</si>
  <si>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</si>
  <si>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</si>
  <si>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</si>
  <si>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</si>
  <si>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</si>
  <si>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</si>
  <si>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</si>
  <si>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</si>
  <si>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</si>
  <si>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</si>
  <si>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</si>
  <si>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</si>
  <si>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</si>
  <si>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</si>
  <si>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calc_einnnahmen_qverkauf</t>
  </si>
  <si>
    <t>Einnahmen aus Wärmeverkauf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</si>
  <si>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</si>
  <si>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</si>
  <si>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</si>
  <si>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</si>
  <si>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</si>
  <si>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</si>
  <si>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</si>
  <si>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</si>
  <si>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</si>
  <si>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</si>
  <si>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</si>
  <si>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</si>
  <si>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</si>
  <si>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</si>
  <si>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</si>
  <si>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</si>
  <si>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</si>
  <si>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</si>
  <si>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</si>
  <si>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</si>
  <si>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</si>
  <si>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</si>
  <si>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</si>
  <si>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</si>
  <si>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</si>
  <si>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</si>
  <si>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</si>
  <si>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</si>
  <si>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</si>
  <si>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</si>
  <si>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</si>
  <si>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FischerTropsch</t>
  </si>
  <si>
    <t>Kerosin Verkauf</t>
  </si>
  <si>
    <t>Kerosin Verkaufspreis</t>
  </si>
  <si>
    <t>strombedarf_ft</t>
  </si>
  <si>
    <t>produktionskapa_ft</t>
  </si>
  <si>
    <t>capex_ft</t>
  </si>
  <si>
    <t>opex_ft</t>
  </si>
  <si>
    <t>h2_bedarf_ft</t>
  </si>
  <si>
    <t>co2_bedarf_ft</t>
  </si>
  <si>
    <t>lebensdauer_ft</t>
  </si>
  <si>
    <t>zinssatz_ft</t>
  </si>
  <si>
    <t>€/kg_SAF *h</t>
  </si>
  <si>
    <t>kg_H2/kg_SAF</t>
  </si>
  <si>
    <t>kg_CO2/kg_SAF</t>
  </si>
  <si>
    <t>kWh/kg_SAF</t>
  </si>
  <si>
    <t>€/kg_SAF</t>
  </si>
  <si>
    <t>kerosinerloes</t>
  </si>
  <si>
    <t>result_ft_flowsum_h2in</t>
  </si>
  <si>
    <t>result_ft_flowsum_co2in</t>
  </si>
  <si>
    <t>result_ft_flowsum_elin</t>
  </si>
  <si>
    <t>calc_gesamtinvest_ft</t>
  </si>
  <si>
    <t>calc_opex_fix_ft</t>
  </si>
  <si>
    <t>calc_annuity_ft</t>
  </si>
  <si>
    <t>calc_verzinstinvest_ft</t>
  </si>
  <si>
    <t>calc_cost_ft</t>
  </si>
  <si>
    <t>calc_lcof_ft</t>
  </si>
  <si>
    <t>annuity_ft</t>
  </si>
  <si>
    <t>result_ft_flowsum_safout</t>
  </si>
  <si>
    <t>kg_SAF/a</t>
  </si>
  <si>
    <t>result_safverkauf_flowsum</t>
  </si>
  <si>
    <t>calc_einnahmen_safverkauf</t>
  </si>
  <si>
    <t>Kerosinverkauf</t>
  </si>
  <si>
    <t>Einnahmen aus Kerosinverkauf</t>
  </si>
  <si>
    <t>Kerosinproduktion</t>
  </si>
  <si>
    <t>Fischer Tropsch</t>
  </si>
  <si>
    <t>Levelized Cost of Kerosin</t>
  </si>
  <si>
    <t>Gesamtkosten pro t Kerosin</t>
  </si>
  <si>
    <t>calc_cost_saf</t>
  </si>
  <si>
    <t>Nebenprodukte</t>
  </si>
  <si>
    <t>naphtha_output_ft</t>
  </si>
  <si>
    <t>kg_Naphtha/kg_SAF</t>
  </si>
  <si>
    <t>Naphtha Verkauf</t>
  </si>
  <si>
    <t>Naphtha Verkaufspreis</t>
  </si>
  <si>
    <t>naphthaerloes</t>
  </si>
  <si>
    <t>€/kg_Naphtha</t>
  </si>
  <si>
    <t>Naphthaverkauf</t>
  </si>
  <si>
    <t>Einnahmen aus Naphthaverkauf</t>
  </si>
  <si>
    <t>kg_Naphtha/a</t>
  </si>
  <si>
    <t>result_naphverkauf_flowsum</t>
  </si>
  <si>
    <t>calc_einnahmen_naphverkauf</t>
  </si>
  <si>
    <t>Naphthaproduktion</t>
  </si>
  <si>
    <t>result_ft_flowsum_naphout</t>
  </si>
  <si>
    <t>calc_lcof_naph</t>
  </si>
  <si>
    <t>Levelized Cost of Naphtha</t>
  </si>
  <si>
    <t>calc_lcof_saf</t>
  </si>
  <si>
    <t>Levelized Cost of FT (Kerosin+Naphtha)</t>
  </si>
  <si>
    <t>Verkaufspreiseanalyse</t>
  </si>
  <si>
    <t>Maximaler Verkaufspreis Bilanznull</t>
  </si>
  <si>
    <t>Verkaufspreis Bilanznull mit Vorverkauf</t>
  </si>
  <si>
    <t>calc_maxprice</t>
  </si>
  <si>
    <t>calc_price</t>
  </si>
  <si>
    <t>kWh_th/a</t>
  </si>
  <si>
    <t>CO2-Bereitstellung / Industriegasabscheidung MEA</t>
  </si>
  <si>
    <t>annuity_mea</t>
  </si>
  <si>
    <t>result_mea_leistung</t>
  </si>
  <si>
    <t>result_mea_flowsum_elin</t>
  </si>
  <si>
    <t>result_mea_flowsum_qin</t>
  </si>
  <si>
    <t>Biogasbedarf</t>
  </si>
  <si>
    <t>result_mea_flowsum_biogasin</t>
  </si>
  <si>
    <t>kg_Biogas/a</t>
  </si>
  <si>
    <t>result_mea_flowsum_co2out</t>
  </si>
  <si>
    <t>calc_gesamtinvest_mea</t>
  </si>
  <si>
    <t>calc_opex_fix_mea</t>
  </si>
  <si>
    <t>calc_opex_var_mea</t>
  </si>
  <si>
    <t>calc_annuity_mea</t>
  </si>
  <si>
    <t>calc_verzinstinvest_mea</t>
  </si>
  <si>
    <t>calc_cost_mea</t>
  </si>
  <si>
    <t>Biogas</t>
  </si>
  <si>
    <t>Biogas Bezug</t>
  </si>
  <si>
    <t>result_biogasbezug_flowsum</t>
  </si>
  <si>
    <t>kg_CH4/a</t>
  </si>
  <si>
    <t>Kosten Biogas</t>
  </si>
  <si>
    <t>calc_biogasbezug_kosten</t>
  </si>
  <si>
    <t>CO2-Bereitstellung / Abscheidung Industriegas MEA</t>
  </si>
  <si>
    <t>strombedarf_mea</t>
  </si>
  <si>
    <t>waerme_bedarf_mea</t>
  </si>
  <si>
    <t>capex_mea</t>
  </si>
  <si>
    <t>OPEX Fix</t>
  </si>
  <si>
    <t>opex_mea</t>
  </si>
  <si>
    <t>biogasbedarf_mea</t>
  </si>
  <si>
    <t>kg_biogas/kg_CO2</t>
  </si>
  <si>
    <t>MEA (Lösungsmittel) Bedarf</t>
  </si>
  <si>
    <t>mittelbedarf_mea</t>
  </si>
  <si>
    <t>kg_MEA/kg_CO2</t>
  </si>
  <si>
    <t>MEA (Lösungsmittel) Kosten OPEX var</t>
  </si>
  <si>
    <t>mittelkosten_mea</t>
  </si>
  <si>
    <t>€/kg_CO2</t>
  </si>
  <si>
    <t>lebensdauer_mea</t>
  </si>
  <si>
    <t>zinssatz_mea</t>
  </si>
  <si>
    <t>Biogaspreis</t>
  </si>
  <si>
    <t>biogaspreis</t>
  </si>
  <si>
    <t>calc_lcon_mea</t>
  </si>
  <si>
    <t>kg</t>
  </si>
  <si>
    <t>€/ kg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</si>
</sst>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2" fontId="2" fillId="0" borderId="0" xfId="0" applyNumberFormat="1" applyFont="1"/>
    <xf numFmtId="165" fontId="2" fillId="0" borderId="0" xfId="0" applyNumberFormat="1" applyFont="1"/>
    <xf numFmtId="1" fontId="2" fillId="0" borderId="0" xfId="0" applyNumberFormat="1" applyFont="1"/>
    <xf numFmtId="2" fontId="2" fillId="0" borderId="0" xfId="1" applyNumberFormat="1" applyFont="1" applyFill="1" applyBorder="1"/>
    <xf numFmtId="166" fontId="2" fillId="0" borderId="0" xfId="1" applyNumberFormat="1" applyFont="1" applyFill="1" applyBorder="1"/>
    <xf numFmtId="165" fontId="6" fillId="0" borderId="0" xfId="0" applyNumberFormat="1" applyFont="1"/>
    <xf numFmtId="0" fontId="6" fillId="0" borderId="0" xfId="0" applyFont="1"/>
    <xf numFmtId="1" fontId="7" fillId="0" borderId="0" xfId="0" applyNumberFormat="1" applyFont="1"/>
    <xf numFmtId="165" fontId="7" fillId="0" borderId="0" xfId="0" applyNumberFormat="1" applyFont="1"/>
    <xf numFmtId="2" fontId="7" fillId="0" borderId="0" xfId="0" applyNumberFormat="1" applyFont="1"/>
    <xf numFmtId="0" fontId="2" fillId="0" borderId="2" xfId="0" applyFont="1" applyBorder="1"/>
    <xf numFmtId="165" fontId="2" fillId="0" borderId="2" xfId="0" applyNumberFormat="1" applyFont="1" applyBorder="1"/>
    <xf numFmtId="2" fontId="2" fillId="0" borderId="0" xfId="0" applyNumberFormat="1" applyFont="1" applyAlignment="1">
      <alignment horizontal="right"/>
    </xf>
    <xf numFmtId="0" fontId="2" fillId="0" borderId="4" xfId="0" applyFont="1" applyBorder="1"/>
    <xf numFmtId="2" fontId="2" fillId="0" borderId="4" xfId="0" applyNumberFormat="1" applyFont="1" applyBorder="1"/>
    <xf numFmtId="0" fontId="2" fillId="0" borderId="3" xfId="0" applyFont="1" applyBorder="1"/>
    <xf numFmtId="165" fontId="2" fillId="0" borderId="3" xfId="0" applyNumberFormat="1" applyFont="1" applyBorder="1"/>
    <xf numFmtId="165" fontId="2" fillId="0" borderId="4" xfId="0" applyNumberFormat="1" applyFont="1" applyBorder="1"/>
    <xf numFmtId="0" fontId="2" fillId="0" borderId="5" xfId="0" applyFont="1" applyBorder="1"/>
    <xf numFmtId="0" fontId="5" fillId="0" borderId="6" xfId="0" applyFont="1" applyBorder="1"/>
    <xf numFmtId="0" fontId="5" fillId="0" borderId="1" xfId="0" applyFont="1" applyBorder="1"/>
    <xf numFmtId="165" fontId="5" fillId="0" borderId="1" xfId="0" applyNumberFormat="1" applyFont="1" applyBorder="1"/>
    <xf numFmtId="0" fontId="5" fillId="0" borderId="0" xfId="0" applyFont="1"/>
    <xf numFmtId="2" fontId="2" fillId="0" borderId="2" xfId="0" applyNumberFormat="1" applyFont="1" applyBorder="1"/>
    <xf numFmtId="167" fontId="2" fillId="0" borderId="0" xfId="0" applyNumberFormat="1" applyFont="1"/>
    <xf numFmtId="0" fontId="2" fillId="0" borderId="1" xfId="0" applyFont="1" applyBorder="1"/>
    <xf numFmtId="165" fontId="2" fillId="0" borderId="1" xfId="0" applyNumberFormat="1" applyFont="1" applyBorder="1"/>
    <xf numFmtId="4" fontId="2" fillId="0" borderId="0" xfId="0" applyNumberFormat="1" applyFont="1"/>
    <xf numFmtId="0" fontId="5" fillId="0" borderId="7" xfId="0" applyFont="1" applyBorder="1"/>
    <xf numFmtId="0" fontId="2" fillId="0" borderId="7" xfId="0" applyFont="1" applyBorder="1"/>
    <xf numFmtId="165" fontId="2" fillId="0" borderId="7" xfId="0" applyNumberFormat="1" applyFont="1" applyBorder="1"/>
    <xf numFmtId="0" fontId="5" fillId="0" borderId="5" xfId="0" applyFont="1" applyBorder="1"/>
    <xf numFmtId="165" fontId="2" fillId="0" borderId="5" xfId="0" applyNumberFormat="1" applyFont="1" applyBorder="1"/>
    <xf numFmtId="0" fontId="7" fillId="0" borderId="0" xfId="0" applyFont="1"/>
    <xf numFmtId="0" fontId="8" fillId="0" borderId="0" xfId="0" applyFont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2" fontId="2" fillId="0" borderId="3" xfId="0" applyNumberFormat="1" applyFont="1" applyBorder="1"/>
    <xf numFmtId="0" fontId="5" fillId="2" borderId="0" xfId="0" applyFont="1" applyFill="1" applyAlignment="1">
      <alignment horizontal="center" vertical="top" wrapText="1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5" fillId="0" borderId="0" xfId="0" applyFont="1" applyAlignment="1">
      <alignment horizontal="left" vertical="top"/>
    </xf>
    <xf numFmtId="0" fontId="5" fillId="2" borderId="0" xfId="0" applyFont="1" applyFill="1" applyAlignment="1">
      <alignment horizontal="center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9" dT="2025-03-18T08:08:24.46" personId="{7B1A26D8-2D09-4CF3-BDB9-5A9185883024}" id="{A66B6FDD-7E3A-402B-8E6B-7073C79B9436}">
    <text xml:space="preserve">0,7 * 10^6 /1000 </text>
  </threadedComment>
  <threadedComment ref="E43" dT="2025-03-26T10:22:08.04" personId="{7B1A26D8-2D09-4CF3-BDB9-5A9185883024}" id="{F7866A31-18E0-48C6-B567-67C836D4C8B7}">
    <text>Wochenfaktor 4,33 * 24h *7d = 727,44h/monat
4,55 %/monat * 1/727,44 monat/h</text>
  </threadedComment>
  <threadedComment ref="E43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43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77" dT="2025-05-23T06:25:26.02" personId="{7B1A26D8-2D09-4CF3-BDB9-5A9185883024}" id="{44739194-014B-4694-92C5-E2CDD3BBFC02}">
    <text>https://www.statista.com/statistics/1171139/price-naphtha-forecast-globally/</text>
    <extLst>
      <x:ext xmlns:xltc2="http://schemas.microsoft.com/office/spreadsheetml/2020/threadedcomments2" uri="{F7C98A9C-CBB3-438F-8F68-D28B6AF4A901}">
        <xltc2:checksum>2242177625</xltc2:checksum>
        <xltc2:hyperlink startIndex="0" length="76" url="https://www.statista.com/statistics/1171139/price-naphtha-forecast-globally/"/>
      </x:ext>
    </extLst>
  </threadedComment>
  <threadedComment ref="E78" dT="2025-03-18T07:43:27.70" personId="{7B1A26D8-2D09-4CF3-BDB9-5A9185883024}" id="{24965C23-66A2-443D-B1F3-FDFF8EFF87E6}">
    <text>https://de.statista.com/statistik/daten/studie/1458969/umfrage/preisentwicklung-alternative-kraftstoffe-kerosin/
2500 dollar/t umgerechnet in euro 2200</text>
    <extLst>
      <x:ext xmlns:xltc2="http://schemas.microsoft.com/office/spreadsheetml/2020/threadedcomments2" uri="{F7C98A9C-CBB3-438F-8F68-D28B6AF4A901}">
        <xltc2:checksum>1954970913</xltc2:checksum>
        <xltc2:hyperlink startIndex="0" length="112" url="https://de.statista.com/statistik/daten/studie/1458969/umfrage/preisentwicklung-alternative-kraftstoffe-kerosin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tabSelected="1" zoomScale="85" zoomScaleNormal="85" workbookViewId="0">
      <selection activeCell="H12" sqref="H12"/>
    </sheetView>
  </sheetViews>
  <sheetFormatPr baseColWidth="10" defaultColWidth="8.88671875" defaultRowHeight="14.4" x14ac:dyDescent="0.3"/>
  <cols>
    <col min="1" max="1" width="10.88671875" style="1" customWidth="1"/>
    <col min="2" max="2" width="18.6640625" style="24" customWidth="1"/>
    <col min="3" max="3" width="36.21875" style="1" bestFit="1" customWidth="1"/>
    <col min="4" max="4" width="21" style="1" bestFit="1" customWidth="1"/>
    <col min="5" max="5" width="19" style="3" bestFit="1" customWidth="1"/>
    <col min="6" max="6" width="40.77734375" style="1" bestFit="1" customWidth="1"/>
    <col min="7" max="7" width="20.77734375" style="1" bestFit="1" customWidth="1"/>
    <col min="8" max="8" width="20.77734375" style="1" customWidth="1"/>
    <col min="9" max="9" width="13.88671875" style="1" bestFit="1" customWidth="1"/>
    <col min="10" max="10" width="14" style="1" bestFit="1" customWidth="1"/>
    <col min="11" max="11" width="10.77734375" style="1" bestFit="1" customWidth="1"/>
    <col min="12" max="16384" width="8.88671875" style="1"/>
  </cols>
  <sheetData>
    <row r="1" spans="1:7" ht="15" thickBot="1" x14ac:dyDescent="0.35">
      <c r="A1" s="21" t="s">
        <v>69</v>
      </c>
      <c r="B1" s="22" t="s">
        <v>2</v>
      </c>
      <c r="C1" s="22" t="s">
        <v>24</v>
      </c>
      <c r="D1" s="22" t="s">
        <v>23</v>
      </c>
      <c r="E1" s="23" t="s">
        <v>7</v>
      </c>
      <c r="F1" s="22" t="s">
        <v>1</v>
      </c>
      <c r="G1" s="24"/>
    </row>
    <row r="2" spans="1:7" x14ac:dyDescent="0.3">
      <c r="A2" s="40" t="s">
        <v>70</v>
      </c>
      <c r="B2" s="50" t="s">
        <v>0</v>
      </c>
      <c r="C2" s="12" t="s">
        <v>8</v>
      </c>
      <c r="D2" s="12" t="s">
        <v>25</v>
      </c>
      <c r="E2" s="13">
        <v>0.66600000000000004</v>
      </c>
      <c r="F2" s="12" t="s">
        <v>22</v>
      </c>
    </row>
    <row r="3" spans="1:7" x14ac:dyDescent="0.3">
      <c r="A3" s="41"/>
      <c r="B3" s="48"/>
      <c r="C3" s="1" t="s">
        <v>84</v>
      </c>
      <c r="D3" s="1" t="s">
        <v>63</v>
      </c>
      <c r="E3" s="2">
        <v>50</v>
      </c>
      <c r="F3" s="1" t="s">
        <v>184</v>
      </c>
    </row>
    <row r="4" spans="1:7" x14ac:dyDescent="0.3">
      <c r="A4" s="41"/>
      <c r="B4" s="48"/>
      <c r="C4" s="1" t="s">
        <v>10</v>
      </c>
      <c r="D4" s="1" t="s">
        <v>26</v>
      </c>
      <c r="E4" s="14">
        <v>1500</v>
      </c>
      <c r="F4" s="1" t="s">
        <v>83</v>
      </c>
    </row>
    <row r="5" spans="1:7" x14ac:dyDescent="0.3">
      <c r="A5" s="41"/>
      <c r="B5" s="48"/>
      <c r="C5" s="1" t="s">
        <v>11</v>
      </c>
      <c r="D5" s="1" t="s">
        <v>27</v>
      </c>
      <c r="E5" s="3">
        <v>0.03</v>
      </c>
      <c r="F5" s="1" t="s">
        <v>64</v>
      </c>
    </row>
    <row r="6" spans="1:7" x14ac:dyDescent="0.3">
      <c r="A6" s="41"/>
      <c r="B6" s="48"/>
      <c r="C6" s="1" t="s">
        <v>13</v>
      </c>
      <c r="D6" s="1" t="s">
        <v>28</v>
      </c>
      <c r="E6" s="4">
        <v>20</v>
      </c>
      <c r="F6" s="1" t="s">
        <v>14</v>
      </c>
    </row>
    <row r="7" spans="1:7" x14ac:dyDescent="0.3">
      <c r="A7" s="41"/>
      <c r="B7" s="48"/>
      <c r="C7" s="1" t="s">
        <v>15</v>
      </c>
      <c r="D7" s="1" t="s">
        <v>29</v>
      </c>
      <c r="E7" s="3">
        <v>0.08</v>
      </c>
      <c r="F7" s="1" t="s">
        <v>22</v>
      </c>
    </row>
    <row r="8" spans="1:7" x14ac:dyDescent="0.3">
      <c r="A8" s="41"/>
      <c r="B8" s="51" t="s">
        <v>299</v>
      </c>
      <c r="C8" s="15" t="s">
        <v>84</v>
      </c>
      <c r="D8" s="15" t="s">
        <v>302</v>
      </c>
      <c r="E8" s="16">
        <v>3.38</v>
      </c>
      <c r="F8" s="15" t="s">
        <v>313</v>
      </c>
    </row>
    <row r="9" spans="1:7" x14ac:dyDescent="0.3">
      <c r="A9" s="41"/>
      <c r="B9" s="48"/>
      <c r="C9" s="1" t="s">
        <v>85</v>
      </c>
      <c r="D9" s="1" t="s">
        <v>303</v>
      </c>
      <c r="E9" s="2">
        <v>285.39999999999998</v>
      </c>
      <c r="F9" s="1" t="s">
        <v>30</v>
      </c>
    </row>
    <row r="10" spans="1:7" x14ac:dyDescent="0.3">
      <c r="A10" s="41"/>
      <c r="B10" s="48"/>
      <c r="C10" s="1" t="s">
        <v>10</v>
      </c>
      <c r="D10" s="1" t="s">
        <v>304</v>
      </c>
      <c r="E10" s="2">
        <v>18520</v>
      </c>
      <c r="F10" s="2" t="s">
        <v>310</v>
      </c>
    </row>
    <row r="11" spans="1:7" x14ac:dyDescent="0.3">
      <c r="A11" s="41"/>
      <c r="B11" s="48"/>
      <c r="C11" s="1" t="s">
        <v>11</v>
      </c>
      <c r="D11" s="1" t="s">
        <v>305</v>
      </c>
      <c r="E11" s="3">
        <v>0.03</v>
      </c>
      <c r="F11" s="1" t="s">
        <v>64</v>
      </c>
    </row>
    <row r="12" spans="1:7" x14ac:dyDescent="0.3">
      <c r="A12" s="41"/>
      <c r="B12" s="48"/>
      <c r="C12" s="1" t="s">
        <v>86</v>
      </c>
      <c r="D12" s="1" t="s">
        <v>306</v>
      </c>
      <c r="E12" s="2">
        <v>0.62</v>
      </c>
      <c r="F12" s="1" t="s">
        <v>311</v>
      </c>
    </row>
    <row r="13" spans="1:7" x14ac:dyDescent="0.3">
      <c r="A13" s="41"/>
      <c r="B13" s="48"/>
      <c r="C13" s="1" t="s">
        <v>229</v>
      </c>
      <c r="D13" s="1" t="s">
        <v>307</v>
      </c>
      <c r="E13" s="2">
        <v>4.43</v>
      </c>
      <c r="F13" s="1" t="s">
        <v>312</v>
      </c>
    </row>
    <row r="14" spans="1:7" x14ac:dyDescent="0.3">
      <c r="A14" s="41"/>
      <c r="B14" s="48"/>
      <c r="C14" s="1" t="s">
        <v>337</v>
      </c>
      <c r="D14" s="1" t="s">
        <v>338</v>
      </c>
      <c r="E14" s="2">
        <v>0.41</v>
      </c>
      <c r="F14" s="1" t="s">
        <v>339</v>
      </c>
    </row>
    <row r="15" spans="1:7" x14ac:dyDescent="0.3">
      <c r="A15" s="41"/>
      <c r="B15" s="48"/>
      <c r="C15" s="1" t="s">
        <v>13</v>
      </c>
      <c r="D15" s="1" t="s">
        <v>308</v>
      </c>
      <c r="E15" s="4">
        <v>20</v>
      </c>
      <c r="F15" s="1" t="s">
        <v>14</v>
      </c>
    </row>
    <row r="16" spans="1:7" x14ac:dyDescent="0.3">
      <c r="A16" s="41"/>
      <c r="B16" s="52"/>
      <c r="C16" s="17" t="s">
        <v>15</v>
      </c>
      <c r="D16" s="17" t="s">
        <v>309</v>
      </c>
      <c r="E16" s="18">
        <v>7.0000000000000007E-2</v>
      </c>
      <c r="F16" s="17" t="s">
        <v>22</v>
      </c>
    </row>
    <row r="17" spans="1:6" x14ac:dyDescent="0.3">
      <c r="A17" s="41"/>
      <c r="B17" s="51" t="s">
        <v>236</v>
      </c>
      <c r="C17" s="15" t="s">
        <v>8</v>
      </c>
      <c r="D17" s="15" t="s">
        <v>237</v>
      </c>
      <c r="E17" s="19">
        <v>3.7</v>
      </c>
      <c r="F17" s="15" t="s">
        <v>22</v>
      </c>
    </row>
    <row r="18" spans="1:6" x14ac:dyDescent="0.3">
      <c r="A18" s="41"/>
      <c r="B18" s="48"/>
      <c r="C18" s="1" t="s">
        <v>84</v>
      </c>
      <c r="D18" s="1" t="s">
        <v>238</v>
      </c>
      <c r="E18" s="3">
        <v>0.27</v>
      </c>
      <c r="F18" s="1" t="s">
        <v>262</v>
      </c>
    </row>
    <row r="19" spans="1:6" x14ac:dyDescent="0.3">
      <c r="A19" s="41"/>
      <c r="B19" s="48"/>
      <c r="C19" s="1" t="s">
        <v>10</v>
      </c>
      <c r="D19" s="1" t="s">
        <v>239</v>
      </c>
      <c r="E19" s="3">
        <v>700</v>
      </c>
      <c r="F19" s="1" t="s">
        <v>243</v>
      </c>
    </row>
    <row r="20" spans="1:6" x14ac:dyDescent="0.3">
      <c r="A20" s="41"/>
      <c r="B20" s="48"/>
      <c r="C20" s="1" t="s">
        <v>11</v>
      </c>
      <c r="D20" s="1" t="s">
        <v>240</v>
      </c>
      <c r="E20" s="3">
        <v>0.02</v>
      </c>
      <c r="F20" s="1" t="s">
        <v>64</v>
      </c>
    </row>
    <row r="21" spans="1:6" x14ac:dyDescent="0.3">
      <c r="A21" s="41"/>
      <c r="B21" s="48"/>
      <c r="C21" s="1" t="s">
        <v>13</v>
      </c>
      <c r="D21" s="1" t="s">
        <v>241</v>
      </c>
      <c r="E21" s="3">
        <v>20</v>
      </c>
      <c r="F21" s="1" t="s">
        <v>14</v>
      </c>
    </row>
    <row r="22" spans="1:6" x14ac:dyDescent="0.3">
      <c r="A22" s="41"/>
      <c r="B22" s="52"/>
      <c r="C22" s="17" t="s">
        <v>15</v>
      </c>
      <c r="D22" s="17" t="s">
        <v>242</v>
      </c>
      <c r="E22" s="18">
        <v>0.05</v>
      </c>
      <c r="F22" s="17" t="s">
        <v>22</v>
      </c>
    </row>
    <row r="23" spans="1:6" x14ac:dyDescent="0.3">
      <c r="A23" s="41"/>
      <c r="B23" s="39" t="s">
        <v>382</v>
      </c>
      <c r="C23" s="1" t="s">
        <v>84</v>
      </c>
      <c r="D23" s="35" t="s">
        <v>383</v>
      </c>
      <c r="E23" s="11">
        <v>0.2</v>
      </c>
      <c r="F23" s="1" t="s">
        <v>227</v>
      </c>
    </row>
    <row r="24" spans="1:6" x14ac:dyDescent="0.3">
      <c r="A24" s="41"/>
      <c r="B24" s="39"/>
      <c r="C24" s="1" t="s">
        <v>244</v>
      </c>
      <c r="D24" s="35" t="s">
        <v>384</v>
      </c>
      <c r="E24" s="11">
        <v>0.92800000000000005</v>
      </c>
      <c r="F24" s="1" t="s">
        <v>245</v>
      </c>
    </row>
    <row r="25" spans="1:6" x14ac:dyDescent="0.3">
      <c r="A25" s="41"/>
      <c r="B25" s="39"/>
      <c r="C25" s="1" t="s">
        <v>10</v>
      </c>
      <c r="D25" s="35" t="s">
        <v>385</v>
      </c>
      <c r="E25" s="11">
        <v>1640</v>
      </c>
      <c r="F25" s="1" t="s">
        <v>228</v>
      </c>
    </row>
    <row r="26" spans="1:6" x14ac:dyDescent="0.3">
      <c r="A26" s="41"/>
      <c r="B26" s="39"/>
      <c r="C26" s="1" t="s">
        <v>386</v>
      </c>
      <c r="D26" s="35" t="s">
        <v>387</v>
      </c>
      <c r="E26" s="10">
        <v>0.04</v>
      </c>
      <c r="F26" s="1" t="s">
        <v>64</v>
      </c>
    </row>
    <row r="27" spans="1:6" x14ac:dyDescent="0.3">
      <c r="A27" s="41"/>
      <c r="B27" s="39"/>
      <c r="C27" s="1" t="s">
        <v>366</v>
      </c>
      <c r="D27" s="35" t="s">
        <v>388</v>
      </c>
      <c r="E27" s="10">
        <v>2.5</v>
      </c>
      <c r="F27" s="35" t="s">
        <v>389</v>
      </c>
    </row>
    <row r="28" spans="1:6" x14ac:dyDescent="0.3">
      <c r="A28" s="41"/>
      <c r="B28" s="39"/>
      <c r="C28" s="1" t="s">
        <v>390</v>
      </c>
      <c r="D28" s="8" t="s">
        <v>391</v>
      </c>
      <c r="E28" s="7">
        <v>1.5</v>
      </c>
      <c r="F28" s="8" t="s">
        <v>392</v>
      </c>
    </row>
    <row r="29" spans="1:6" x14ac:dyDescent="0.3">
      <c r="A29" s="41"/>
      <c r="B29" s="39"/>
      <c r="C29" s="1" t="s">
        <v>393</v>
      </c>
      <c r="D29" s="8" t="s">
        <v>394</v>
      </c>
      <c r="E29" s="7">
        <v>1.5E-3</v>
      </c>
      <c r="F29" s="8" t="s">
        <v>395</v>
      </c>
    </row>
    <row r="30" spans="1:6" x14ac:dyDescent="0.3">
      <c r="A30" s="41"/>
      <c r="B30" s="39"/>
      <c r="C30" s="1" t="s">
        <v>13</v>
      </c>
      <c r="D30" s="35" t="s">
        <v>396</v>
      </c>
      <c r="E30" s="9">
        <v>25</v>
      </c>
      <c r="F30" s="1" t="s">
        <v>14</v>
      </c>
    </row>
    <row r="31" spans="1:6" ht="15" thickBot="1" x14ac:dyDescent="0.35">
      <c r="A31" s="41"/>
      <c r="B31" s="39"/>
      <c r="C31" s="1" t="s">
        <v>15</v>
      </c>
      <c r="D31" s="35" t="s">
        <v>397</v>
      </c>
      <c r="E31" s="10">
        <v>0.08</v>
      </c>
      <c r="F31" s="1" t="s">
        <v>22</v>
      </c>
    </row>
    <row r="32" spans="1:6" x14ac:dyDescent="0.3">
      <c r="A32" s="40" t="s">
        <v>71</v>
      </c>
      <c r="B32" s="43" t="s">
        <v>3</v>
      </c>
      <c r="C32" s="12" t="s">
        <v>87</v>
      </c>
      <c r="D32" s="12" t="s">
        <v>33</v>
      </c>
      <c r="E32" s="25">
        <v>490</v>
      </c>
      <c r="F32" s="12" t="s">
        <v>82</v>
      </c>
    </row>
    <row r="33" spans="1:6" x14ac:dyDescent="0.3">
      <c r="A33" s="41"/>
      <c r="B33" s="44"/>
      <c r="C33" s="1" t="s">
        <v>11</v>
      </c>
      <c r="D33" s="1" t="s">
        <v>40</v>
      </c>
      <c r="E33" s="3">
        <v>0.01</v>
      </c>
      <c r="F33" s="1" t="s">
        <v>64</v>
      </c>
    </row>
    <row r="34" spans="1:6" x14ac:dyDescent="0.3">
      <c r="A34" s="41"/>
      <c r="B34" s="44"/>
      <c r="C34" s="1" t="s">
        <v>13</v>
      </c>
      <c r="D34" s="1" t="s">
        <v>32</v>
      </c>
      <c r="E34" s="4">
        <v>20</v>
      </c>
      <c r="F34" s="1" t="s">
        <v>14</v>
      </c>
    </row>
    <row r="35" spans="1:6" x14ac:dyDescent="0.3">
      <c r="A35" s="41"/>
      <c r="B35" s="44"/>
      <c r="C35" s="1" t="s">
        <v>20</v>
      </c>
      <c r="D35" s="1" t="s">
        <v>34</v>
      </c>
      <c r="E35" s="26">
        <v>1.0000000000000001E-5</v>
      </c>
      <c r="F35" s="1" t="s">
        <v>93</v>
      </c>
    </row>
    <row r="36" spans="1:6" x14ac:dyDescent="0.3">
      <c r="A36" s="41"/>
      <c r="B36" s="44"/>
      <c r="C36" s="1" t="s">
        <v>35</v>
      </c>
      <c r="D36" s="1" t="s">
        <v>37</v>
      </c>
      <c r="E36" s="3">
        <v>0.83299999999999996</v>
      </c>
      <c r="F36" s="1" t="s">
        <v>22</v>
      </c>
    </row>
    <row r="37" spans="1:6" x14ac:dyDescent="0.3">
      <c r="A37" s="41"/>
      <c r="B37" s="44"/>
      <c r="C37" s="1" t="s">
        <v>36</v>
      </c>
      <c r="D37" s="1" t="s">
        <v>38</v>
      </c>
      <c r="E37" s="3">
        <v>0.83299999999999996</v>
      </c>
      <c r="F37" s="1" t="s">
        <v>22</v>
      </c>
    </row>
    <row r="38" spans="1:6" x14ac:dyDescent="0.3">
      <c r="A38" s="41"/>
      <c r="B38" s="44"/>
      <c r="C38" s="1" t="s">
        <v>15</v>
      </c>
      <c r="D38" s="1" t="s">
        <v>31</v>
      </c>
      <c r="E38" s="3">
        <v>0.05</v>
      </c>
      <c r="F38" s="1" t="s">
        <v>22</v>
      </c>
    </row>
    <row r="39" spans="1:6" ht="15" thickBot="1" x14ac:dyDescent="0.35">
      <c r="A39" s="41"/>
      <c r="B39" s="45"/>
      <c r="C39" s="17" t="s">
        <v>88</v>
      </c>
      <c r="D39" s="17" t="s">
        <v>39</v>
      </c>
      <c r="E39" s="18">
        <v>0</v>
      </c>
      <c r="F39" s="17" t="s">
        <v>94</v>
      </c>
    </row>
    <row r="40" spans="1:6" x14ac:dyDescent="0.3">
      <c r="A40" s="41"/>
      <c r="B40" s="46" t="s">
        <v>274</v>
      </c>
      <c r="C40" s="12" t="s">
        <v>87</v>
      </c>
      <c r="D40" s="12" t="s">
        <v>275</v>
      </c>
      <c r="E40" s="25">
        <v>2.83</v>
      </c>
      <c r="F40" s="12" t="s">
        <v>283</v>
      </c>
    </row>
    <row r="41" spans="1:6" x14ac:dyDescent="0.3">
      <c r="A41" s="41"/>
      <c r="B41" s="44"/>
      <c r="C41" s="1" t="s">
        <v>11</v>
      </c>
      <c r="D41" s="1" t="s">
        <v>276</v>
      </c>
      <c r="E41" s="3">
        <v>0.03</v>
      </c>
      <c r="F41" s="1" t="s">
        <v>64</v>
      </c>
    </row>
    <row r="42" spans="1:6" x14ac:dyDescent="0.3">
      <c r="A42" s="41"/>
      <c r="B42" s="44"/>
      <c r="C42" s="1" t="s">
        <v>13</v>
      </c>
      <c r="D42" s="1" t="s">
        <v>277</v>
      </c>
      <c r="E42" s="4">
        <v>30</v>
      </c>
      <c r="F42" s="1" t="s">
        <v>14</v>
      </c>
    </row>
    <row r="43" spans="1:6" x14ac:dyDescent="0.3">
      <c r="A43" s="41"/>
      <c r="B43" s="44"/>
      <c r="C43" s="1" t="s">
        <v>20</v>
      </c>
      <c r="D43" s="1" t="s">
        <v>278</v>
      </c>
      <c r="E43" s="3">
        <v>7.3999999999999999E-4</v>
      </c>
      <c r="F43" s="1" t="s">
        <v>93</v>
      </c>
    </row>
    <row r="44" spans="1:6" x14ac:dyDescent="0.3">
      <c r="A44" s="41"/>
      <c r="B44" s="44"/>
      <c r="C44" s="1" t="s">
        <v>35</v>
      </c>
      <c r="D44" s="1" t="s">
        <v>279</v>
      </c>
      <c r="E44" s="3">
        <v>0.98</v>
      </c>
      <c r="F44" s="1" t="s">
        <v>22</v>
      </c>
    </row>
    <row r="45" spans="1:6" x14ac:dyDescent="0.3">
      <c r="A45" s="41"/>
      <c r="B45" s="44"/>
      <c r="C45" s="1" t="s">
        <v>36</v>
      </c>
      <c r="D45" s="1" t="s">
        <v>280</v>
      </c>
      <c r="E45" s="3">
        <v>0.98</v>
      </c>
      <c r="F45" s="1" t="s">
        <v>22</v>
      </c>
    </row>
    <row r="46" spans="1:6" x14ac:dyDescent="0.3">
      <c r="A46" s="41"/>
      <c r="B46" s="44"/>
      <c r="C46" s="1" t="s">
        <v>15</v>
      </c>
      <c r="D46" s="1" t="s">
        <v>281</v>
      </c>
      <c r="E46" s="3">
        <v>0.05</v>
      </c>
      <c r="F46" s="1" t="s">
        <v>22</v>
      </c>
    </row>
    <row r="47" spans="1:6" x14ac:dyDescent="0.3">
      <c r="A47" s="41"/>
      <c r="B47" s="44"/>
      <c r="C47" s="17" t="s">
        <v>88</v>
      </c>
      <c r="D47" s="17" t="s">
        <v>282</v>
      </c>
      <c r="E47" s="18">
        <v>0</v>
      </c>
      <c r="F47" s="17" t="s">
        <v>94</v>
      </c>
    </row>
    <row r="48" spans="1:6" x14ac:dyDescent="0.3">
      <c r="A48" s="41"/>
      <c r="B48" s="46" t="s">
        <v>201</v>
      </c>
      <c r="C48" s="15" t="s">
        <v>91</v>
      </c>
      <c r="D48" s="15" t="s">
        <v>62</v>
      </c>
      <c r="E48" s="19">
        <v>1.6999999999999999E-3</v>
      </c>
      <c r="F48" s="15" t="s">
        <v>95</v>
      </c>
    </row>
    <row r="49" spans="1:6" x14ac:dyDescent="0.3">
      <c r="A49" s="41"/>
      <c r="B49" s="48"/>
      <c r="C49" s="1" t="s">
        <v>21</v>
      </c>
      <c r="D49" s="1" t="s">
        <v>55</v>
      </c>
      <c r="E49" s="2">
        <f>E50*4</f>
        <v>424</v>
      </c>
      <c r="F49" s="1" t="s">
        <v>12</v>
      </c>
    </row>
    <row r="50" spans="1:6" x14ac:dyDescent="0.3">
      <c r="A50" s="41"/>
      <c r="B50" s="48"/>
      <c r="C50" s="1" t="s">
        <v>16</v>
      </c>
      <c r="D50" s="1" t="s">
        <v>56</v>
      </c>
      <c r="E50" s="2">
        <v>106</v>
      </c>
      <c r="F50" s="1" t="s">
        <v>19</v>
      </c>
    </row>
    <row r="51" spans="1:6" x14ac:dyDescent="0.3">
      <c r="A51" s="41"/>
      <c r="B51" s="48"/>
      <c r="C51" s="1" t="s">
        <v>17</v>
      </c>
      <c r="D51" s="1" t="s">
        <v>57</v>
      </c>
      <c r="E51" s="3">
        <v>2.5000000000000001E-2</v>
      </c>
      <c r="F51" s="1" t="s">
        <v>64</v>
      </c>
    </row>
    <row r="52" spans="1:6" x14ac:dyDescent="0.3">
      <c r="A52" s="41"/>
      <c r="B52" s="48"/>
      <c r="C52" s="1" t="s">
        <v>35</v>
      </c>
      <c r="D52" s="1" t="s">
        <v>59</v>
      </c>
      <c r="E52" s="3">
        <v>0.93500000000000005</v>
      </c>
      <c r="F52" s="1" t="s">
        <v>22</v>
      </c>
    </row>
    <row r="53" spans="1:6" x14ac:dyDescent="0.3">
      <c r="A53" s="41"/>
      <c r="B53" s="48"/>
      <c r="C53" s="1" t="s">
        <v>36</v>
      </c>
      <c r="D53" s="1" t="s">
        <v>60</v>
      </c>
      <c r="E53" s="3">
        <v>0.93500000000000005</v>
      </c>
      <c r="F53" s="1" t="s">
        <v>22</v>
      </c>
    </row>
    <row r="54" spans="1:6" x14ac:dyDescent="0.3">
      <c r="A54" s="41"/>
      <c r="B54" s="48"/>
      <c r="C54" s="1" t="s">
        <v>89</v>
      </c>
      <c r="D54" s="1" t="s">
        <v>58</v>
      </c>
      <c r="E54" s="2">
        <v>0.25</v>
      </c>
      <c r="F54" s="1" t="s">
        <v>90</v>
      </c>
    </row>
    <row r="55" spans="1:6" x14ac:dyDescent="0.3">
      <c r="A55" s="41"/>
      <c r="B55" s="48"/>
      <c r="C55" s="1" t="s">
        <v>88</v>
      </c>
      <c r="D55" s="1" t="s">
        <v>61</v>
      </c>
      <c r="E55" s="3">
        <v>0</v>
      </c>
      <c r="F55" s="1" t="s">
        <v>94</v>
      </c>
    </row>
    <row r="56" spans="1:6" x14ac:dyDescent="0.3">
      <c r="A56" s="41"/>
      <c r="B56" s="48"/>
      <c r="C56" s="1" t="s">
        <v>13</v>
      </c>
      <c r="D56" s="1" t="s">
        <v>54</v>
      </c>
      <c r="E56" s="4">
        <v>15</v>
      </c>
      <c r="F56" s="1" t="s">
        <v>14</v>
      </c>
    </row>
    <row r="57" spans="1:6" ht="15" thickBot="1" x14ac:dyDescent="0.35">
      <c r="A57" s="42"/>
      <c r="B57" s="49"/>
      <c r="C57" s="27" t="s">
        <v>15</v>
      </c>
      <c r="D57" s="27" t="s">
        <v>53</v>
      </c>
      <c r="E57" s="28">
        <v>7.0000000000000007E-2</v>
      </c>
      <c r="F57" s="27" t="s">
        <v>22</v>
      </c>
    </row>
    <row r="58" spans="1:6" x14ac:dyDescent="0.3">
      <c r="A58" s="40" t="s">
        <v>72</v>
      </c>
      <c r="B58" s="37" t="s">
        <v>73</v>
      </c>
      <c r="C58" s="31" t="s">
        <v>74</v>
      </c>
      <c r="D58" s="31" t="s">
        <v>75</v>
      </c>
      <c r="E58" s="32">
        <v>0.1699</v>
      </c>
      <c r="F58" s="31" t="s">
        <v>19</v>
      </c>
    </row>
    <row r="59" spans="1:6" x14ac:dyDescent="0.3">
      <c r="A59" s="41"/>
      <c r="B59" s="36" t="s">
        <v>376</v>
      </c>
      <c r="C59" s="35" t="s">
        <v>398</v>
      </c>
      <c r="D59" s="35" t="s">
        <v>399</v>
      </c>
      <c r="E59" s="10">
        <v>0</v>
      </c>
      <c r="F59" s="35" t="s">
        <v>212</v>
      </c>
    </row>
    <row r="60" spans="1:6" x14ac:dyDescent="0.3">
      <c r="A60" s="41"/>
      <c r="B60" s="46" t="s">
        <v>4</v>
      </c>
      <c r="C60" s="15" t="s">
        <v>8</v>
      </c>
      <c r="D60" s="15" t="s">
        <v>46</v>
      </c>
      <c r="E60" s="19">
        <v>0.99</v>
      </c>
      <c r="F60" s="15" t="s">
        <v>9</v>
      </c>
    </row>
    <row r="61" spans="1:6" x14ac:dyDescent="0.3">
      <c r="A61" s="41"/>
      <c r="B61" s="44"/>
      <c r="C61" s="1" t="s">
        <v>10</v>
      </c>
      <c r="D61" s="1" t="s">
        <v>43</v>
      </c>
      <c r="E61" s="5">
        <v>1100</v>
      </c>
      <c r="F61" s="1" t="s">
        <v>12</v>
      </c>
    </row>
    <row r="62" spans="1:6" x14ac:dyDescent="0.3">
      <c r="A62" s="41"/>
      <c r="B62" s="44"/>
      <c r="C62" s="1" t="s">
        <v>17</v>
      </c>
      <c r="D62" s="1" t="s">
        <v>44</v>
      </c>
      <c r="E62" s="5">
        <v>17.84</v>
      </c>
      <c r="F62" s="1" t="s">
        <v>92</v>
      </c>
    </row>
    <row r="63" spans="1:6" x14ac:dyDescent="0.3">
      <c r="A63" s="41"/>
      <c r="B63" s="44"/>
      <c r="C63" s="1" t="s">
        <v>18</v>
      </c>
      <c r="D63" s="1" t="s">
        <v>45</v>
      </c>
      <c r="E63" s="2">
        <v>0</v>
      </c>
      <c r="F63" s="1" t="s">
        <v>19</v>
      </c>
    </row>
    <row r="64" spans="1:6" x14ac:dyDescent="0.3">
      <c r="A64" s="41"/>
      <c r="B64" s="44"/>
      <c r="C64" s="1" t="s">
        <v>13</v>
      </c>
      <c r="D64" s="1" t="s">
        <v>42</v>
      </c>
      <c r="E64" s="4">
        <v>25</v>
      </c>
      <c r="F64" s="1" t="s">
        <v>14</v>
      </c>
    </row>
    <row r="65" spans="1:6" x14ac:dyDescent="0.3">
      <c r="A65" s="41"/>
      <c r="B65" s="44"/>
      <c r="C65" s="1" t="s">
        <v>68</v>
      </c>
      <c r="D65" s="1" t="s">
        <v>67</v>
      </c>
      <c r="E65" s="2">
        <v>1000000</v>
      </c>
      <c r="F65" s="1" t="s">
        <v>66</v>
      </c>
    </row>
    <row r="66" spans="1:6" x14ac:dyDescent="0.3">
      <c r="A66" s="41"/>
      <c r="B66" s="45"/>
      <c r="C66" s="17" t="s">
        <v>15</v>
      </c>
      <c r="D66" s="17" t="s">
        <v>41</v>
      </c>
      <c r="E66" s="18">
        <v>5.3999999999999999E-2</v>
      </c>
      <c r="F66" s="17" t="s">
        <v>22</v>
      </c>
    </row>
    <row r="67" spans="1:6" x14ac:dyDescent="0.3">
      <c r="A67" s="41"/>
      <c r="B67" s="46" t="s">
        <v>5</v>
      </c>
      <c r="C67" s="15" t="s">
        <v>8</v>
      </c>
      <c r="D67" s="15" t="s">
        <v>47</v>
      </c>
      <c r="E67" s="19">
        <v>0.997</v>
      </c>
      <c r="F67" s="15" t="s">
        <v>22</v>
      </c>
    </row>
    <row r="68" spans="1:6" x14ac:dyDescent="0.3">
      <c r="A68" s="41"/>
      <c r="B68" s="44"/>
      <c r="C68" s="1" t="s">
        <v>10</v>
      </c>
      <c r="D68" s="1" t="s">
        <v>48</v>
      </c>
      <c r="E68" s="5">
        <v>1080</v>
      </c>
      <c r="F68" s="1" t="s">
        <v>12</v>
      </c>
    </row>
    <row r="69" spans="1:6" x14ac:dyDescent="0.3">
      <c r="A69" s="41"/>
      <c r="B69" s="44"/>
      <c r="C69" s="1" t="s">
        <v>17</v>
      </c>
      <c r="D69" s="1" t="s">
        <v>52</v>
      </c>
      <c r="E69" s="5">
        <v>12.68</v>
      </c>
      <c r="F69" s="1" t="s">
        <v>92</v>
      </c>
    </row>
    <row r="70" spans="1:6" x14ac:dyDescent="0.3">
      <c r="A70" s="41"/>
      <c r="B70" s="44"/>
      <c r="C70" s="1" t="s">
        <v>18</v>
      </c>
      <c r="D70" s="1" t="s">
        <v>49</v>
      </c>
      <c r="E70" s="6">
        <v>5.0000000000000001E-3</v>
      </c>
      <c r="F70" s="1" t="s">
        <v>19</v>
      </c>
    </row>
    <row r="71" spans="1:6" x14ac:dyDescent="0.3">
      <c r="A71" s="41"/>
      <c r="B71" s="44"/>
      <c r="C71" s="1" t="s">
        <v>13</v>
      </c>
      <c r="D71" s="1" t="s">
        <v>50</v>
      </c>
      <c r="E71" s="4">
        <v>25</v>
      </c>
      <c r="F71" s="1" t="s">
        <v>14</v>
      </c>
    </row>
    <row r="72" spans="1:6" x14ac:dyDescent="0.3">
      <c r="A72" s="41"/>
      <c r="B72" s="44"/>
      <c r="C72" s="1" t="s">
        <v>68</v>
      </c>
      <c r="D72" s="1" t="s">
        <v>65</v>
      </c>
      <c r="E72" s="29">
        <v>1000000</v>
      </c>
      <c r="F72" s="1" t="s">
        <v>66</v>
      </c>
    </row>
    <row r="73" spans="1:6" x14ac:dyDescent="0.3">
      <c r="A73" s="42"/>
      <c r="B73" s="47"/>
      <c r="C73" s="27" t="s">
        <v>15</v>
      </c>
      <c r="D73" s="27" t="s">
        <v>51</v>
      </c>
      <c r="E73" s="28">
        <v>5.8000000000000003E-2</v>
      </c>
      <c r="F73" s="27" t="s">
        <v>22</v>
      </c>
    </row>
    <row r="74" spans="1:6" x14ac:dyDescent="0.3">
      <c r="A74" s="40" t="s">
        <v>76</v>
      </c>
      <c r="B74" s="30" t="s">
        <v>73</v>
      </c>
      <c r="C74" s="31" t="s">
        <v>77</v>
      </c>
      <c r="D74" s="31" t="s">
        <v>78</v>
      </c>
      <c r="E74" s="32">
        <v>0</v>
      </c>
      <c r="F74" s="31" t="s">
        <v>19</v>
      </c>
    </row>
    <row r="75" spans="1:6" x14ac:dyDescent="0.3">
      <c r="A75" s="41"/>
      <c r="B75" s="24" t="s">
        <v>259</v>
      </c>
      <c r="C75" s="1" t="s">
        <v>260</v>
      </c>
      <c r="D75" s="1" t="s">
        <v>261</v>
      </c>
      <c r="E75" s="3">
        <v>0</v>
      </c>
      <c r="F75" s="1" t="s">
        <v>283</v>
      </c>
    </row>
    <row r="76" spans="1:6" x14ac:dyDescent="0.3">
      <c r="A76" s="41"/>
      <c r="B76" s="33" t="s">
        <v>79</v>
      </c>
      <c r="C76" s="20" t="s">
        <v>80</v>
      </c>
      <c r="D76" s="20" t="s">
        <v>81</v>
      </c>
      <c r="E76" s="34">
        <v>-1.5</v>
      </c>
      <c r="F76" s="20" t="s">
        <v>82</v>
      </c>
    </row>
    <row r="77" spans="1:6" x14ac:dyDescent="0.3">
      <c r="A77" s="41"/>
      <c r="B77" s="33" t="s">
        <v>340</v>
      </c>
      <c r="C77" s="20" t="s">
        <v>341</v>
      </c>
      <c r="D77" s="20" t="s">
        <v>342</v>
      </c>
      <c r="E77" s="34">
        <v>-0.55000000000000004</v>
      </c>
      <c r="F77" s="20" t="s">
        <v>343</v>
      </c>
    </row>
    <row r="78" spans="1:6" ht="15" thickBot="1" x14ac:dyDescent="0.35">
      <c r="A78" s="42"/>
      <c r="B78" s="22" t="s">
        <v>300</v>
      </c>
      <c r="C78" s="27" t="s">
        <v>301</v>
      </c>
      <c r="D78" s="27" t="s">
        <v>315</v>
      </c>
      <c r="E78" s="28">
        <f>-2.2</f>
        <v>-2.2000000000000002</v>
      </c>
      <c r="F78" s="27" t="s">
        <v>314</v>
      </c>
    </row>
  </sheetData>
  <mergeCells count="13">
    <mergeCell ref="B23:B31"/>
    <mergeCell ref="A2:A31"/>
    <mergeCell ref="A32:A57"/>
    <mergeCell ref="A58:A73"/>
    <mergeCell ref="A74:A78"/>
    <mergeCell ref="B32:B39"/>
    <mergeCell ref="B60:B66"/>
    <mergeCell ref="B67:B73"/>
    <mergeCell ref="B48:B57"/>
    <mergeCell ref="B2:B7"/>
    <mergeCell ref="B8:B16"/>
    <mergeCell ref="B17:B22"/>
    <mergeCell ref="B40:B47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52"/>
  <sheetViews>
    <sheetView topLeftCell="A86" zoomScaleNormal="100" workbookViewId="0">
      <selection activeCell="C109" sqref="A109:XFD109"/>
    </sheetView>
  </sheetViews>
  <sheetFormatPr baseColWidth="10" defaultRowHeight="14.4" x14ac:dyDescent="0.3"/>
  <cols>
    <col min="1" max="1" width="14.5546875" style="1" customWidth="1"/>
    <col min="2" max="2" width="30.33203125" style="1" bestFit="1" customWidth="1"/>
    <col min="3" max="3" width="38.5546875" style="1" bestFit="1" customWidth="1"/>
    <col min="4" max="4" width="50.77734375" style="1" customWidth="1"/>
    <col min="5" max="5" width="46.109375" style="1" customWidth="1"/>
    <col min="6" max="6" width="37.5546875" style="1" customWidth="1"/>
    <col min="7" max="16384" width="11.5546875" style="1"/>
  </cols>
  <sheetData>
    <row r="1" spans="1:6" ht="15" thickBot="1" x14ac:dyDescent="0.35">
      <c r="A1" s="21" t="s">
        <v>69</v>
      </c>
      <c r="B1" s="22" t="s">
        <v>2</v>
      </c>
      <c r="C1" s="22" t="s">
        <v>24</v>
      </c>
      <c r="D1" s="22" t="s">
        <v>23</v>
      </c>
      <c r="E1" s="23" t="s">
        <v>7</v>
      </c>
      <c r="F1" s="22" t="s">
        <v>1</v>
      </c>
    </row>
    <row r="2" spans="1:6" x14ac:dyDescent="0.3">
      <c r="A2" s="40" t="s">
        <v>70</v>
      </c>
      <c r="B2" s="50" t="s">
        <v>0</v>
      </c>
      <c r="C2" s="12" t="s">
        <v>96</v>
      </c>
      <c r="D2" s="12" t="s">
        <v>97</v>
      </c>
      <c r="E2" s="13"/>
      <c r="F2" s="12" t="s">
        <v>98</v>
      </c>
    </row>
    <row r="3" spans="1:6" x14ac:dyDescent="0.3">
      <c r="A3" s="41"/>
      <c r="B3" s="48"/>
      <c r="C3" s="1" t="s">
        <v>107</v>
      </c>
      <c r="D3" s="1" t="s">
        <v>115</v>
      </c>
      <c r="E3" s="2"/>
      <c r="F3" s="1" t="s">
        <v>66</v>
      </c>
    </row>
    <row r="4" spans="1:6" x14ac:dyDescent="0.3">
      <c r="A4" s="41"/>
      <c r="B4" s="48"/>
      <c r="C4" s="1" t="s">
        <v>84</v>
      </c>
      <c r="D4" s="1" t="s">
        <v>123</v>
      </c>
      <c r="E4" s="14"/>
      <c r="F4" s="1" t="s">
        <v>118</v>
      </c>
    </row>
    <row r="5" spans="1:6" x14ac:dyDescent="0.3">
      <c r="A5" s="41"/>
      <c r="B5" s="48"/>
      <c r="C5" s="1" t="s">
        <v>138</v>
      </c>
      <c r="D5" s="1" t="s">
        <v>137</v>
      </c>
      <c r="E5" s="3"/>
      <c r="F5" s="1" t="s">
        <v>132</v>
      </c>
    </row>
    <row r="6" spans="1:6" x14ac:dyDescent="0.3">
      <c r="A6" s="41"/>
      <c r="B6" s="48"/>
      <c r="C6" s="1" t="s">
        <v>141</v>
      </c>
      <c r="D6" s="1" t="s">
        <v>143</v>
      </c>
      <c r="E6" s="4"/>
      <c r="F6" s="1" t="s">
        <v>140</v>
      </c>
    </row>
    <row r="7" spans="1:6" x14ac:dyDescent="0.3">
      <c r="A7" s="41"/>
      <c r="B7" s="48"/>
      <c r="C7" s="1" t="s">
        <v>155</v>
      </c>
      <c r="D7" s="1" t="s">
        <v>158</v>
      </c>
      <c r="E7" s="4"/>
      <c r="F7" s="1" t="s">
        <v>149</v>
      </c>
    </row>
    <row r="8" spans="1:6" x14ac:dyDescent="0.3">
      <c r="A8" s="41"/>
      <c r="B8" s="48"/>
      <c r="C8" s="1" t="s">
        <v>196</v>
      </c>
      <c r="D8" s="1" t="s">
        <v>195</v>
      </c>
      <c r="E8" s="4"/>
      <c r="F8" s="1" t="s">
        <v>149</v>
      </c>
    </row>
    <row r="9" spans="1:6" x14ac:dyDescent="0.3">
      <c r="A9" s="41"/>
      <c r="B9" s="48"/>
      <c r="C9" s="1" t="s">
        <v>167</v>
      </c>
      <c r="D9" s="1" t="s">
        <v>166</v>
      </c>
      <c r="E9" s="4"/>
      <c r="F9" s="1" t="s">
        <v>140</v>
      </c>
    </row>
    <row r="10" spans="1:6" x14ac:dyDescent="0.3">
      <c r="A10" s="41"/>
      <c r="B10" s="48"/>
      <c r="C10" s="1" t="s">
        <v>188</v>
      </c>
      <c r="D10" s="1" t="s">
        <v>194</v>
      </c>
      <c r="E10" s="4"/>
      <c r="F10" s="1" t="s">
        <v>149</v>
      </c>
    </row>
    <row r="11" spans="1:6" x14ac:dyDescent="0.3">
      <c r="A11" s="41"/>
      <c r="B11" s="48"/>
      <c r="E11" s="3"/>
    </row>
    <row r="12" spans="1:6" x14ac:dyDescent="0.3">
      <c r="A12" s="41"/>
      <c r="B12" s="51" t="s">
        <v>333</v>
      </c>
      <c r="C12" s="15" t="s">
        <v>96</v>
      </c>
      <c r="D12" s="15" t="s">
        <v>325</v>
      </c>
      <c r="E12" s="16"/>
      <c r="F12" s="15" t="s">
        <v>104</v>
      </c>
    </row>
    <row r="13" spans="1:6" x14ac:dyDescent="0.3">
      <c r="A13" s="41"/>
      <c r="B13" s="48"/>
      <c r="C13" s="1" t="s">
        <v>332</v>
      </c>
      <c r="D13" s="1" t="s">
        <v>326</v>
      </c>
      <c r="E13" s="2"/>
      <c r="F13" s="1" t="s">
        <v>327</v>
      </c>
    </row>
    <row r="14" spans="1:6" x14ac:dyDescent="0.3">
      <c r="A14" s="41"/>
      <c r="B14" s="48"/>
      <c r="C14" s="1" t="s">
        <v>349</v>
      </c>
      <c r="D14" s="1" t="s">
        <v>350</v>
      </c>
      <c r="E14" s="2"/>
      <c r="F14" s="1" t="s">
        <v>346</v>
      </c>
    </row>
    <row r="15" spans="1:6" x14ac:dyDescent="0.3">
      <c r="A15" s="41"/>
      <c r="B15" s="48"/>
      <c r="C15" s="1" t="s">
        <v>139</v>
      </c>
      <c r="D15" s="1" t="s">
        <v>316</v>
      </c>
      <c r="E15" s="2"/>
      <c r="F15" s="2" t="s">
        <v>132</v>
      </c>
    </row>
    <row r="16" spans="1:6" x14ac:dyDescent="0.3">
      <c r="A16" s="41"/>
      <c r="B16" s="48"/>
      <c r="C16" s="1" t="s">
        <v>230</v>
      </c>
      <c r="D16" s="1" t="s">
        <v>317</v>
      </c>
      <c r="E16" s="3"/>
      <c r="F16" s="1" t="s">
        <v>231</v>
      </c>
    </row>
    <row r="17" spans="1:6" x14ac:dyDescent="0.3">
      <c r="A17" s="41"/>
      <c r="B17" s="48"/>
      <c r="C17" s="1" t="s">
        <v>84</v>
      </c>
      <c r="D17" s="1" t="s">
        <v>318</v>
      </c>
      <c r="E17" s="2"/>
      <c r="F17" s="1" t="s">
        <v>118</v>
      </c>
    </row>
    <row r="18" spans="1:6" x14ac:dyDescent="0.3">
      <c r="A18" s="41"/>
      <c r="B18" s="48"/>
      <c r="C18" s="1" t="s">
        <v>141</v>
      </c>
      <c r="D18" s="1" t="s">
        <v>319</v>
      </c>
      <c r="E18" s="2"/>
      <c r="F18" s="1" t="s">
        <v>140</v>
      </c>
    </row>
    <row r="19" spans="1:6" x14ac:dyDescent="0.3">
      <c r="A19" s="41"/>
      <c r="B19" s="48"/>
      <c r="C19" s="1" t="s">
        <v>155</v>
      </c>
      <c r="D19" s="1" t="s">
        <v>320</v>
      </c>
      <c r="E19" s="4"/>
      <c r="F19" s="1" t="s">
        <v>149</v>
      </c>
    </row>
    <row r="20" spans="1:6" x14ac:dyDescent="0.3">
      <c r="A20" s="41"/>
      <c r="B20" s="48"/>
      <c r="C20" s="1" t="s">
        <v>196</v>
      </c>
      <c r="D20" s="1" t="s">
        <v>321</v>
      </c>
      <c r="E20" s="4"/>
      <c r="F20" s="1" t="s">
        <v>149</v>
      </c>
    </row>
    <row r="21" spans="1:6" x14ac:dyDescent="0.3">
      <c r="A21" s="41"/>
      <c r="B21" s="48"/>
      <c r="C21" s="1" t="s">
        <v>167</v>
      </c>
      <c r="D21" s="1" t="s">
        <v>322</v>
      </c>
      <c r="E21" s="4"/>
      <c r="F21" s="1" t="s">
        <v>140</v>
      </c>
    </row>
    <row r="22" spans="1:6" x14ac:dyDescent="0.3">
      <c r="A22" s="41"/>
      <c r="B22" s="48"/>
      <c r="C22" s="1" t="s">
        <v>188</v>
      </c>
      <c r="D22" s="1" t="s">
        <v>323</v>
      </c>
      <c r="E22" s="4"/>
      <c r="F22" s="1" t="s">
        <v>149</v>
      </c>
    </row>
    <row r="23" spans="1:6" x14ac:dyDescent="0.3">
      <c r="A23" s="41"/>
      <c r="B23" s="52"/>
      <c r="C23" s="17"/>
      <c r="D23" s="17"/>
      <c r="E23" s="18"/>
      <c r="F23" s="17"/>
    </row>
    <row r="24" spans="1:6" x14ac:dyDescent="0.3">
      <c r="A24" s="41"/>
      <c r="B24" s="51" t="s">
        <v>236</v>
      </c>
      <c r="C24" s="1" t="s">
        <v>96</v>
      </c>
      <c r="D24" s="1" t="s">
        <v>246</v>
      </c>
      <c r="E24" s="2"/>
      <c r="F24" s="1" t="s">
        <v>254</v>
      </c>
    </row>
    <row r="25" spans="1:6" x14ac:dyDescent="0.3">
      <c r="A25" s="41"/>
      <c r="B25" s="48"/>
      <c r="C25" s="1" t="s">
        <v>107</v>
      </c>
      <c r="D25" s="1" t="s">
        <v>247</v>
      </c>
      <c r="E25" s="2"/>
      <c r="F25" s="1" t="s">
        <v>186</v>
      </c>
    </row>
    <row r="26" spans="1:6" x14ac:dyDescent="0.3">
      <c r="A26" s="41"/>
      <c r="B26" s="48"/>
      <c r="C26" s="1" t="s">
        <v>84</v>
      </c>
      <c r="D26" s="1" t="s">
        <v>248</v>
      </c>
      <c r="E26" s="3"/>
      <c r="F26" s="1" t="s">
        <v>258</v>
      </c>
    </row>
    <row r="27" spans="1:6" x14ac:dyDescent="0.3">
      <c r="A27" s="41"/>
      <c r="B27" s="48"/>
      <c r="C27" s="1" t="s">
        <v>256</v>
      </c>
      <c r="D27" s="1" t="s">
        <v>257</v>
      </c>
      <c r="E27" s="4"/>
      <c r="F27" s="1" t="s">
        <v>255</v>
      </c>
    </row>
    <row r="28" spans="1:6" x14ac:dyDescent="0.3">
      <c r="A28" s="41"/>
      <c r="B28" s="48"/>
      <c r="C28" s="1" t="s">
        <v>141</v>
      </c>
      <c r="D28" s="1" t="s">
        <v>249</v>
      </c>
      <c r="E28" s="4"/>
      <c r="F28" s="1" t="s">
        <v>140</v>
      </c>
    </row>
    <row r="29" spans="1:6" x14ac:dyDescent="0.3">
      <c r="A29" s="41"/>
      <c r="B29" s="48"/>
      <c r="C29" s="1" t="s">
        <v>155</v>
      </c>
      <c r="D29" s="1" t="s">
        <v>250</v>
      </c>
      <c r="E29" s="4"/>
      <c r="F29" s="1" t="s">
        <v>149</v>
      </c>
    </row>
    <row r="30" spans="1:6" x14ac:dyDescent="0.3">
      <c r="A30" s="41"/>
      <c r="B30" s="48"/>
      <c r="C30" s="1" t="s">
        <v>196</v>
      </c>
      <c r="D30" s="1" t="s">
        <v>251</v>
      </c>
      <c r="E30" s="4"/>
      <c r="F30" s="1" t="s">
        <v>149</v>
      </c>
    </row>
    <row r="31" spans="1:6" x14ac:dyDescent="0.3">
      <c r="A31" s="41"/>
      <c r="B31" s="48"/>
      <c r="C31" s="1" t="s">
        <v>167</v>
      </c>
      <c r="D31" s="1" t="s">
        <v>252</v>
      </c>
      <c r="E31" s="3"/>
      <c r="F31" s="1" t="s">
        <v>140</v>
      </c>
    </row>
    <row r="32" spans="1:6" x14ac:dyDescent="0.3">
      <c r="A32" s="41"/>
      <c r="B32" s="48"/>
      <c r="C32" s="1" t="s">
        <v>188</v>
      </c>
      <c r="D32" s="1" t="s">
        <v>253</v>
      </c>
      <c r="E32" s="3"/>
      <c r="F32" s="1" t="s">
        <v>149</v>
      </c>
    </row>
    <row r="33" spans="1:6" x14ac:dyDescent="0.3">
      <c r="A33" s="41"/>
      <c r="B33" s="52"/>
      <c r="C33" s="17"/>
      <c r="D33" s="17"/>
      <c r="E33" s="18"/>
      <c r="F33" s="17"/>
    </row>
    <row r="34" spans="1:6" x14ac:dyDescent="0.3">
      <c r="A34" s="41"/>
      <c r="B34" s="39" t="s">
        <v>361</v>
      </c>
      <c r="C34" s="1" t="s">
        <v>96</v>
      </c>
      <c r="D34" s="1" t="s">
        <v>362</v>
      </c>
      <c r="E34" s="2"/>
      <c r="F34" s="1" t="s">
        <v>104</v>
      </c>
    </row>
    <row r="35" spans="1:6" x14ac:dyDescent="0.3">
      <c r="A35" s="41"/>
      <c r="B35" s="39"/>
      <c r="C35" s="1" t="s">
        <v>107</v>
      </c>
      <c r="D35" s="1" t="s">
        <v>363</v>
      </c>
      <c r="E35" s="2"/>
      <c r="F35" s="1" t="s">
        <v>186</v>
      </c>
    </row>
    <row r="36" spans="1:6" x14ac:dyDescent="0.3">
      <c r="A36" s="41"/>
      <c r="B36" s="39"/>
      <c r="C36" s="1" t="s">
        <v>84</v>
      </c>
      <c r="D36" s="1" t="s">
        <v>364</v>
      </c>
      <c r="E36" s="3"/>
      <c r="F36" s="1" t="s">
        <v>118</v>
      </c>
    </row>
    <row r="37" spans="1:6" x14ac:dyDescent="0.3">
      <c r="A37" s="41"/>
      <c r="B37" s="39"/>
      <c r="C37" s="1" t="s">
        <v>244</v>
      </c>
      <c r="D37" s="1" t="s">
        <v>365</v>
      </c>
      <c r="E37" s="3"/>
      <c r="F37" s="1" t="s">
        <v>255</v>
      </c>
    </row>
    <row r="38" spans="1:6" x14ac:dyDescent="0.3">
      <c r="A38" s="41"/>
      <c r="B38" s="39"/>
      <c r="C38" s="1" t="s">
        <v>366</v>
      </c>
      <c r="D38" s="1" t="s">
        <v>367</v>
      </c>
      <c r="E38" s="3"/>
      <c r="F38" s="1" t="s">
        <v>368</v>
      </c>
    </row>
    <row r="39" spans="1:6" x14ac:dyDescent="0.3">
      <c r="A39" s="41"/>
      <c r="B39" s="39"/>
      <c r="C39" s="1" t="s">
        <v>232</v>
      </c>
      <c r="D39" s="1" t="s">
        <v>369</v>
      </c>
      <c r="E39" s="4"/>
      <c r="F39" s="1" t="s">
        <v>231</v>
      </c>
    </row>
    <row r="40" spans="1:6" x14ac:dyDescent="0.3">
      <c r="A40" s="41"/>
      <c r="B40" s="39"/>
      <c r="C40" s="1" t="s">
        <v>141</v>
      </c>
      <c r="D40" s="1" t="s">
        <v>370</v>
      </c>
      <c r="E40" s="4"/>
      <c r="F40" s="1" t="s">
        <v>140</v>
      </c>
    </row>
    <row r="41" spans="1:6" x14ac:dyDescent="0.3">
      <c r="A41" s="41"/>
      <c r="B41" s="39"/>
      <c r="C41" s="1" t="s">
        <v>155</v>
      </c>
      <c r="D41" s="1" t="s">
        <v>371</v>
      </c>
      <c r="E41" s="4"/>
      <c r="F41" s="1" t="s">
        <v>149</v>
      </c>
    </row>
    <row r="42" spans="1:6" x14ac:dyDescent="0.3">
      <c r="A42" s="41"/>
      <c r="B42" s="39"/>
      <c r="C42" s="1" t="s">
        <v>161</v>
      </c>
      <c r="D42" s="1" t="s">
        <v>372</v>
      </c>
      <c r="E42" s="4"/>
      <c r="F42" s="1" t="s">
        <v>149</v>
      </c>
    </row>
    <row r="43" spans="1:6" x14ac:dyDescent="0.3">
      <c r="A43" s="41"/>
      <c r="B43" s="39"/>
      <c r="C43" s="1" t="s">
        <v>196</v>
      </c>
      <c r="D43" s="1" t="s">
        <v>373</v>
      </c>
      <c r="E43" s="4"/>
      <c r="F43" s="1" t="s">
        <v>149</v>
      </c>
    </row>
    <row r="44" spans="1:6" x14ac:dyDescent="0.3">
      <c r="A44" s="41"/>
      <c r="B44" s="39"/>
      <c r="C44" s="1" t="s">
        <v>167</v>
      </c>
      <c r="D44" s="1" t="s">
        <v>374</v>
      </c>
      <c r="E44" s="3"/>
      <c r="F44" s="1" t="s">
        <v>140</v>
      </c>
    </row>
    <row r="45" spans="1:6" x14ac:dyDescent="0.3">
      <c r="A45" s="41"/>
      <c r="B45" s="39"/>
      <c r="C45" s="1" t="s">
        <v>188</v>
      </c>
      <c r="D45" s="1" t="s">
        <v>375</v>
      </c>
      <c r="E45" s="3"/>
      <c r="F45" s="1" t="s">
        <v>149</v>
      </c>
    </row>
    <row r="46" spans="1:6" ht="15" thickBot="1" x14ac:dyDescent="0.35">
      <c r="A46" s="41"/>
      <c r="B46" s="39"/>
      <c r="E46" s="3"/>
    </row>
    <row r="47" spans="1:6" ht="14.4" customHeight="1" x14ac:dyDescent="0.3">
      <c r="A47" s="40" t="s">
        <v>71</v>
      </c>
      <c r="B47" s="43" t="s">
        <v>3</v>
      </c>
      <c r="C47" s="12" t="s">
        <v>113</v>
      </c>
      <c r="D47" s="12" t="s">
        <v>103</v>
      </c>
      <c r="E47" s="25"/>
      <c r="F47" s="12" t="s">
        <v>402</v>
      </c>
    </row>
    <row r="48" spans="1:6" x14ac:dyDescent="0.3">
      <c r="A48" s="41"/>
      <c r="B48" s="44"/>
      <c r="C48" s="1" t="s">
        <v>111</v>
      </c>
      <c r="D48" s="1" t="s">
        <v>110</v>
      </c>
      <c r="E48" s="3"/>
      <c r="F48" s="1" t="s">
        <v>401</v>
      </c>
    </row>
    <row r="49" spans="1:6" x14ac:dyDescent="0.3">
      <c r="A49" s="41"/>
      <c r="B49" s="44"/>
      <c r="C49" s="1" t="s">
        <v>135</v>
      </c>
      <c r="D49" s="1" t="s">
        <v>133</v>
      </c>
      <c r="E49" s="4"/>
      <c r="F49" s="1" t="s">
        <v>132</v>
      </c>
    </row>
    <row r="50" spans="1:6" x14ac:dyDescent="0.3">
      <c r="A50" s="41"/>
      <c r="B50" s="44"/>
      <c r="C50" s="1" t="s">
        <v>136</v>
      </c>
      <c r="D50" s="1" t="s">
        <v>134</v>
      </c>
      <c r="E50" s="3"/>
      <c r="F50" s="1" t="s">
        <v>132</v>
      </c>
    </row>
    <row r="51" spans="1:6" x14ac:dyDescent="0.3">
      <c r="A51" s="41"/>
      <c r="B51" s="44"/>
      <c r="C51" s="1" t="s">
        <v>141</v>
      </c>
      <c r="D51" s="1" t="s">
        <v>146</v>
      </c>
      <c r="E51" s="3"/>
      <c r="F51" s="1" t="s">
        <v>140</v>
      </c>
    </row>
    <row r="52" spans="1:6" x14ac:dyDescent="0.3">
      <c r="A52" s="41"/>
      <c r="B52" s="44"/>
      <c r="C52" s="1" t="s">
        <v>155</v>
      </c>
      <c r="D52" s="1" t="s">
        <v>159</v>
      </c>
      <c r="E52" s="3"/>
      <c r="F52" s="1" t="s">
        <v>149</v>
      </c>
    </row>
    <row r="53" spans="1:6" x14ac:dyDescent="0.3">
      <c r="A53" s="41"/>
      <c r="B53" s="44"/>
      <c r="C53" s="1" t="s">
        <v>196</v>
      </c>
      <c r="D53" s="1" t="s">
        <v>199</v>
      </c>
      <c r="E53" s="3"/>
      <c r="F53" s="1" t="s">
        <v>149</v>
      </c>
    </row>
    <row r="54" spans="1:6" x14ac:dyDescent="0.3">
      <c r="A54" s="41"/>
      <c r="B54" s="44"/>
      <c r="C54" s="1" t="s">
        <v>167</v>
      </c>
      <c r="D54" s="1" t="s">
        <v>171</v>
      </c>
      <c r="E54" s="3"/>
      <c r="F54" s="1" t="s">
        <v>140</v>
      </c>
    </row>
    <row r="55" spans="1:6" x14ac:dyDescent="0.3">
      <c r="A55" s="41"/>
      <c r="B55" s="44"/>
      <c r="C55" s="1" t="s">
        <v>188</v>
      </c>
      <c r="D55" s="1" t="s">
        <v>193</v>
      </c>
      <c r="E55" s="3"/>
      <c r="F55" s="1" t="s">
        <v>149</v>
      </c>
    </row>
    <row r="56" spans="1:6" x14ac:dyDescent="0.3">
      <c r="A56" s="41"/>
      <c r="B56" s="45"/>
      <c r="C56" s="17"/>
      <c r="D56" s="17"/>
      <c r="E56" s="18"/>
      <c r="F56" s="17"/>
    </row>
    <row r="57" spans="1:6" x14ac:dyDescent="0.3">
      <c r="A57" s="41"/>
      <c r="B57" s="44" t="s">
        <v>274</v>
      </c>
      <c r="C57" s="1" t="s">
        <v>113</v>
      </c>
      <c r="D57" s="1" t="s">
        <v>284</v>
      </c>
      <c r="E57" s="2"/>
      <c r="F57" s="1" t="s">
        <v>297</v>
      </c>
    </row>
    <row r="58" spans="1:6" x14ac:dyDescent="0.3">
      <c r="A58" s="41"/>
      <c r="B58" s="44"/>
      <c r="C58" s="1" t="s">
        <v>111</v>
      </c>
      <c r="D58" s="1" t="s">
        <v>285</v>
      </c>
      <c r="E58" s="3"/>
      <c r="F58" s="1" t="s">
        <v>298</v>
      </c>
    </row>
    <row r="59" spans="1:6" x14ac:dyDescent="0.3">
      <c r="A59" s="41"/>
      <c r="B59" s="44"/>
      <c r="C59" s="1" t="s">
        <v>135</v>
      </c>
      <c r="D59" s="1" t="s">
        <v>286</v>
      </c>
      <c r="E59" s="4"/>
      <c r="F59" s="1" t="s">
        <v>360</v>
      </c>
    </row>
    <row r="60" spans="1:6" x14ac:dyDescent="0.3">
      <c r="A60" s="41"/>
      <c r="B60" s="44"/>
      <c r="C60" s="1" t="s">
        <v>136</v>
      </c>
      <c r="D60" s="1" t="s">
        <v>287</v>
      </c>
      <c r="E60" s="3"/>
      <c r="F60" s="1" t="s">
        <v>360</v>
      </c>
    </row>
    <row r="61" spans="1:6" x14ac:dyDescent="0.3">
      <c r="A61" s="41"/>
      <c r="B61" s="44"/>
      <c r="C61" s="1" t="s">
        <v>141</v>
      </c>
      <c r="D61" s="1" t="s">
        <v>288</v>
      </c>
      <c r="E61" s="3"/>
      <c r="F61" s="1" t="s">
        <v>140</v>
      </c>
    </row>
    <row r="62" spans="1:6" x14ac:dyDescent="0.3">
      <c r="A62" s="41"/>
      <c r="B62" s="44"/>
      <c r="C62" s="1" t="s">
        <v>155</v>
      </c>
      <c r="D62" s="1" t="s">
        <v>289</v>
      </c>
      <c r="E62" s="3"/>
      <c r="F62" s="1" t="s">
        <v>149</v>
      </c>
    </row>
    <row r="63" spans="1:6" x14ac:dyDescent="0.3">
      <c r="A63" s="41"/>
      <c r="B63" s="44"/>
      <c r="C63" s="1" t="s">
        <v>196</v>
      </c>
      <c r="D63" s="1" t="s">
        <v>290</v>
      </c>
      <c r="E63" s="3"/>
      <c r="F63" s="1" t="s">
        <v>149</v>
      </c>
    </row>
    <row r="64" spans="1:6" x14ac:dyDescent="0.3">
      <c r="A64" s="41"/>
      <c r="B64" s="44"/>
      <c r="C64" s="1" t="s">
        <v>167</v>
      </c>
      <c r="D64" s="1" t="s">
        <v>291</v>
      </c>
      <c r="E64" s="3"/>
      <c r="F64" s="1" t="s">
        <v>140</v>
      </c>
    </row>
    <row r="65" spans="1:6" x14ac:dyDescent="0.3">
      <c r="A65" s="41"/>
      <c r="B65" s="44"/>
      <c r="C65" s="1" t="s">
        <v>188</v>
      </c>
      <c r="D65" s="1" t="s">
        <v>292</v>
      </c>
      <c r="E65" s="3"/>
      <c r="F65" s="1" t="s">
        <v>149</v>
      </c>
    </row>
    <row r="66" spans="1:6" x14ac:dyDescent="0.3">
      <c r="A66" s="41"/>
      <c r="B66" s="45"/>
      <c r="E66" s="3"/>
    </row>
    <row r="67" spans="1:6" x14ac:dyDescent="0.3">
      <c r="A67" s="41"/>
      <c r="B67" s="46" t="s">
        <v>6</v>
      </c>
      <c r="C67" s="15" t="s">
        <v>96</v>
      </c>
      <c r="D67" s="15" t="s">
        <v>100</v>
      </c>
      <c r="E67" s="19"/>
      <c r="F67" s="15" t="s">
        <v>98</v>
      </c>
    </row>
    <row r="68" spans="1:6" x14ac:dyDescent="0.3">
      <c r="A68" s="41"/>
      <c r="B68" s="44"/>
      <c r="C68" s="1" t="s">
        <v>113</v>
      </c>
      <c r="D68" s="1" t="s">
        <v>102</v>
      </c>
      <c r="E68" s="3"/>
      <c r="F68" s="1" t="s">
        <v>105</v>
      </c>
    </row>
    <row r="69" spans="1:6" x14ac:dyDescent="0.3">
      <c r="A69" s="41"/>
      <c r="B69" s="48"/>
      <c r="C69" s="1" t="s">
        <v>111</v>
      </c>
      <c r="D69" s="1" t="s">
        <v>112</v>
      </c>
      <c r="E69" s="2"/>
      <c r="F69" s="1" t="s">
        <v>114</v>
      </c>
    </row>
    <row r="70" spans="1:6" x14ac:dyDescent="0.3">
      <c r="A70" s="41"/>
      <c r="B70" s="48"/>
      <c r="C70" s="1" t="s">
        <v>107</v>
      </c>
      <c r="D70" s="1" t="s">
        <v>185</v>
      </c>
      <c r="E70" s="2"/>
      <c r="F70" s="1" t="s">
        <v>66</v>
      </c>
    </row>
    <row r="71" spans="1:6" x14ac:dyDescent="0.3">
      <c r="A71" s="41"/>
      <c r="B71" s="48"/>
      <c r="C71" s="1" t="s">
        <v>126</v>
      </c>
      <c r="D71" s="1" t="s">
        <v>124</v>
      </c>
      <c r="E71" s="2"/>
      <c r="F71" s="1" t="s">
        <v>118</v>
      </c>
    </row>
    <row r="72" spans="1:6" x14ac:dyDescent="0.3">
      <c r="A72" s="41"/>
      <c r="B72" s="48"/>
      <c r="C72" s="1" t="s">
        <v>127</v>
      </c>
      <c r="D72" s="1" t="s">
        <v>125</v>
      </c>
      <c r="E72" s="3"/>
      <c r="F72" s="1" t="s">
        <v>118</v>
      </c>
    </row>
    <row r="73" spans="1:6" x14ac:dyDescent="0.3">
      <c r="A73" s="41"/>
      <c r="B73" s="48"/>
      <c r="C73" s="1" t="s">
        <v>141</v>
      </c>
      <c r="D73" s="1" t="s">
        <v>145</v>
      </c>
      <c r="E73" s="2"/>
      <c r="F73" s="1" t="s">
        <v>140</v>
      </c>
    </row>
    <row r="74" spans="1:6" x14ac:dyDescent="0.3">
      <c r="A74" s="41"/>
      <c r="B74" s="48"/>
      <c r="C74" s="1" t="s">
        <v>155</v>
      </c>
      <c r="D74" s="1" t="s">
        <v>157</v>
      </c>
      <c r="E74" s="3"/>
      <c r="F74" s="1" t="s">
        <v>149</v>
      </c>
    </row>
    <row r="75" spans="1:6" x14ac:dyDescent="0.3">
      <c r="A75" s="41"/>
      <c r="B75" s="48"/>
      <c r="C75" s="1" t="s">
        <v>196</v>
      </c>
      <c r="D75" s="1" t="s">
        <v>200</v>
      </c>
      <c r="E75" s="3"/>
      <c r="F75" s="1" t="s">
        <v>149</v>
      </c>
    </row>
    <row r="76" spans="1:6" x14ac:dyDescent="0.3">
      <c r="A76" s="41"/>
      <c r="B76" s="48"/>
      <c r="C76" s="1" t="s">
        <v>167</v>
      </c>
      <c r="D76" s="1" t="s">
        <v>170</v>
      </c>
      <c r="E76" s="3"/>
      <c r="F76" s="1" t="s">
        <v>140</v>
      </c>
    </row>
    <row r="77" spans="1:6" x14ac:dyDescent="0.3">
      <c r="A77" s="41"/>
      <c r="B77" s="48"/>
      <c r="C77" s="1" t="s">
        <v>188</v>
      </c>
      <c r="D77" s="1" t="s">
        <v>192</v>
      </c>
      <c r="E77" s="3"/>
      <c r="F77" s="1" t="s">
        <v>149</v>
      </c>
    </row>
    <row r="78" spans="1:6" ht="15" thickBot="1" x14ac:dyDescent="0.35">
      <c r="A78" s="42"/>
      <c r="B78" s="49"/>
      <c r="C78" s="27"/>
      <c r="D78" s="27"/>
      <c r="E78" s="28"/>
      <c r="F78" s="27"/>
    </row>
    <row r="79" spans="1:6" x14ac:dyDescent="0.3">
      <c r="A79" s="40" t="s">
        <v>72</v>
      </c>
      <c r="B79" s="50" t="s">
        <v>73</v>
      </c>
      <c r="C79" s="12" t="s">
        <v>117</v>
      </c>
      <c r="D79" s="12" t="s">
        <v>116</v>
      </c>
      <c r="E79" s="25"/>
      <c r="F79" s="12" t="s">
        <v>118</v>
      </c>
    </row>
    <row r="80" spans="1:6" x14ac:dyDescent="0.3">
      <c r="A80" s="41"/>
      <c r="B80" s="48"/>
      <c r="C80" s="1" t="s">
        <v>153</v>
      </c>
      <c r="D80" s="1" t="s">
        <v>152</v>
      </c>
      <c r="E80" s="2"/>
      <c r="F80" s="1" t="s">
        <v>149</v>
      </c>
    </row>
    <row r="81" spans="1:6" x14ac:dyDescent="0.3">
      <c r="A81" s="41"/>
      <c r="B81" s="52"/>
      <c r="C81" s="17"/>
      <c r="D81" s="17"/>
      <c r="E81" s="38"/>
      <c r="F81" s="17"/>
    </row>
    <row r="82" spans="1:6" x14ac:dyDescent="0.3">
      <c r="A82" s="41"/>
      <c r="B82" s="54" t="s">
        <v>376</v>
      </c>
      <c r="C82" s="1" t="s">
        <v>377</v>
      </c>
      <c r="D82" s="1" t="s">
        <v>378</v>
      </c>
      <c r="E82" s="2"/>
      <c r="F82" s="1" t="s">
        <v>379</v>
      </c>
    </row>
    <row r="83" spans="1:6" x14ac:dyDescent="0.3">
      <c r="A83" s="41"/>
      <c r="B83" s="54"/>
      <c r="C83" s="1" t="s">
        <v>380</v>
      </c>
      <c r="D83" s="1" t="s">
        <v>381</v>
      </c>
      <c r="E83" s="2"/>
      <c r="F83" s="1" t="s">
        <v>149</v>
      </c>
    </row>
    <row r="84" spans="1:6" x14ac:dyDescent="0.3">
      <c r="A84" s="41"/>
      <c r="B84" s="54"/>
      <c r="E84" s="2"/>
    </row>
    <row r="85" spans="1:6" x14ac:dyDescent="0.3">
      <c r="A85" s="41"/>
      <c r="B85" s="46" t="s">
        <v>4</v>
      </c>
      <c r="C85" s="15" t="s">
        <v>96</v>
      </c>
      <c r="D85" s="15" t="s">
        <v>99</v>
      </c>
      <c r="E85" s="19"/>
      <c r="F85" s="15" t="s">
        <v>98</v>
      </c>
    </row>
    <row r="86" spans="1:6" x14ac:dyDescent="0.3">
      <c r="A86" s="41"/>
      <c r="B86" s="44"/>
      <c r="C86" s="1" t="s">
        <v>107</v>
      </c>
      <c r="D86" s="1" t="s">
        <v>109</v>
      </c>
      <c r="E86" s="5"/>
      <c r="F86" s="1" t="s">
        <v>66</v>
      </c>
    </row>
    <row r="87" spans="1:6" x14ac:dyDescent="0.3">
      <c r="A87" s="41"/>
      <c r="B87" s="44"/>
      <c r="C87" s="1" t="s">
        <v>122</v>
      </c>
      <c r="D87" s="1" t="s">
        <v>121</v>
      </c>
      <c r="E87" s="5"/>
      <c r="F87" s="1" t="s">
        <v>118</v>
      </c>
    </row>
    <row r="88" spans="1:6" x14ac:dyDescent="0.3">
      <c r="A88" s="41"/>
      <c r="B88" s="44"/>
      <c r="C88" s="1" t="s">
        <v>141</v>
      </c>
      <c r="D88" s="1" t="s">
        <v>144</v>
      </c>
      <c r="E88" s="2"/>
      <c r="F88" s="1" t="s">
        <v>140</v>
      </c>
    </row>
    <row r="89" spans="1:6" x14ac:dyDescent="0.3">
      <c r="A89" s="41"/>
      <c r="B89" s="44"/>
      <c r="C89" s="1" t="s">
        <v>155</v>
      </c>
      <c r="D89" s="1" t="s">
        <v>156</v>
      </c>
      <c r="E89" s="4"/>
      <c r="F89" s="1" t="s">
        <v>149</v>
      </c>
    </row>
    <row r="90" spans="1:6" x14ac:dyDescent="0.3">
      <c r="A90" s="41"/>
      <c r="B90" s="44"/>
      <c r="C90" s="1" t="s">
        <v>161</v>
      </c>
      <c r="D90" s="1" t="s">
        <v>162</v>
      </c>
      <c r="E90" s="2"/>
      <c r="F90" s="1" t="s">
        <v>149</v>
      </c>
    </row>
    <row r="91" spans="1:6" x14ac:dyDescent="0.3">
      <c r="A91" s="41"/>
      <c r="B91" s="44"/>
      <c r="C91" s="1" t="s">
        <v>196</v>
      </c>
      <c r="D91" s="1" t="s">
        <v>198</v>
      </c>
      <c r="E91" s="2"/>
      <c r="F91" s="1" t="s">
        <v>149</v>
      </c>
    </row>
    <row r="92" spans="1:6" x14ac:dyDescent="0.3">
      <c r="A92" s="41"/>
      <c r="B92" s="44"/>
      <c r="C92" s="1" t="s">
        <v>167</v>
      </c>
      <c r="D92" s="1" t="s">
        <v>169</v>
      </c>
      <c r="E92" s="3"/>
      <c r="F92" s="1" t="s">
        <v>140</v>
      </c>
    </row>
    <row r="93" spans="1:6" x14ac:dyDescent="0.3">
      <c r="A93" s="41"/>
      <c r="B93" s="44"/>
      <c r="C93" s="1" t="s">
        <v>188</v>
      </c>
      <c r="D93" s="1" t="s">
        <v>190</v>
      </c>
      <c r="E93" s="3"/>
      <c r="F93" s="1" t="s">
        <v>149</v>
      </c>
    </row>
    <row r="94" spans="1:6" x14ac:dyDescent="0.3">
      <c r="A94" s="41"/>
      <c r="B94" s="45"/>
    </row>
    <row r="95" spans="1:6" x14ac:dyDescent="0.3">
      <c r="A95" s="41"/>
      <c r="B95" s="46" t="s">
        <v>5</v>
      </c>
      <c r="C95" s="15" t="s">
        <v>96</v>
      </c>
      <c r="D95" s="15" t="s">
        <v>101</v>
      </c>
      <c r="E95" s="19"/>
      <c r="F95" s="15" t="s">
        <v>98</v>
      </c>
    </row>
    <row r="96" spans="1:6" x14ac:dyDescent="0.3">
      <c r="A96" s="41"/>
      <c r="B96" s="44"/>
      <c r="C96" s="1" t="s">
        <v>108</v>
      </c>
      <c r="D96" s="1" t="s">
        <v>106</v>
      </c>
      <c r="E96" s="5"/>
      <c r="F96" s="1" t="s">
        <v>66</v>
      </c>
    </row>
    <row r="97" spans="1:6" x14ac:dyDescent="0.3">
      <c r="A97" s="41"/>
      <c r="B97" s="44"/>
      <c r="C97" s="1" t="s">
        <v>120</v>
      </c>
      <c r="D97" s="1" t="s">
        <v>119</v>
      </c>
      <c r="E97" s="5"/>
      <c r="F97" s="1" t="s">
        <v>118</v>
      </c>
    </row>
    <row r="98" spans="1:6" x14ac:dyDescent="0.3">
      <c r="A98" s="41"/>
      <c r="B98" s="44"/>
      <c r="C98" s="1" t="s">
        <v>141</v>
      </c>
      <c r="D98" s="1" t="s">
        <v>142</v>
      </c>
      <c r="E98" s="5"/>
      <c r="F98" s="1" t="s">
        <v>140</v>
      </c>
    </row>
    <row r="99" spans="1:6" x14ac:dyDescent="0.3">
      <c r="A99" s="41"/>
      <c r="B99" s="44"/>
      <c r="C99" s="1" t="s">
        <v>155</v>
      </c>
      <c r="D99" s="1" t="s">
        <v>154</v>
      </c>
      <c r="E99" s="4"/>
      <c r="F99" s="1" t="s">
        <v>149</v>
      </c>
    </row>
    <row r="100" spans="1:6" x14ac:dyDescent="0.3">
      <c r="A100" s="41"/>
      <c r="B100" s="44"/>
      <c r="C100" s="1" t="s">
        <v>161</v>
      </c>
      <c r="D100" s="1" t="s">
        <v>160</v>
      </c>
      <c r="E100" s="29"/>
      <c r="F100" s="1" t="s">
        <v>149</v>
      </c>
    </row>
    <row r="101" spans="1:6" x14ac:dyDescent="0.3">
      <c r="A101" s="41"/>
      <c r="B101" s="44"/>
      <c r="C101" s="1" t="s">
        <v>196</v>
      </c>
      <c r="D101" s="1" t="s">
        <v>197</v>
      </c>
      <c r="E101" s="29"/>
      <c r="F101" s="1" t="s">
        <v>149</v>
      </c>
    </row>
    <row r="102" spans="1:6" x14ac:dyDescent="0.3">
      <c r="A102" s="41"/>
      <c r="B102" s="44"/>
      <c r="C102" s="1" t="s">
        <v>167</v>
      </c>
      <c r="D102" s="1" t="s">
        <v>168</v>
      </c>
      <c r="E102" s="3"/>
      <c r="F102" s="1" t="s">
        <v>140</v>
      </c>
    </row>
    <row r="103" spans="1:6" x14ac:dyDescent="0.3">
      <c r="A103" s="41"/>
      <c r="B103" s="44"/>
      <c r="C103" s="1" t="s">
        <v>188</v>
      </c>
      <c r="D103" s="1" t="s">
        <v>189</v>
      </c>
      <c r="E103" s="3"/>
      <c r="F103" s="1" t="s">
        <v>149</v>
      </c>
    </row>
    <row r="104" spans="1:6" ht="15" thickBot="1" x14ac:dyDescent="0.35">
      <c r="A104" s="42"/>
      <c r="B104" s="47"/>
    </row>
    <row r="105" spans="1:6" x14ac:dyDescent="0.3">
      <c r="A105" s="40" t="s">
        <v>76</v>
      </c>
      <c r="B105" s="50" t="s">
        <v>73</v>
      </c>
      <c r="C105" s="12" t="s">
        <v>129</v>
      </c>
      <c r="D105" s="12" t="s">
        <v>128</v>
      </c>
      <c r="E105" s="13"/>
      <c r="F105" s="12" t="s">
        <v>118</v>
      </c>
    </row>
    <row r="106" spans="1:6" x14ac:dyDescent="0.3">
      <c r="A106" s="41"/>
      <c r="B106" s="48"/>
      <c r="C106" s="1" t="s">
        <v>150</v>
      </c>
      <c r="D106" s="1" t="s">
        <v>147</v>
      </c>
      <c r="E106" s="3"/>
      <c r="F106" s="1" t="s">
        <v>149</v>
      </c>
    </row>
    <row r="107" spans="1:6" x14ac:dyDescent="0.3">
      <c r="A107" s="41"/>
      <c r="B107" s="52"/>
      <c r="C107" s="17"/>
      <c r="D107" s="17"/>
      <c r="E107" s="18"/>
      <c r="F107" s="17"/>
    </row>
    <row r="108" spans="1:6" x14ac:dyDescent="0.3">
      <c r="A108" s="41"/>
      <c r="B108" s="51" t="s">
        <v>263</v>
      </c>
      <c r="C108" s="1" t="s">
        <v>264</v>
      </c>
      <c r="D108" s="1" t="s">
        <v>265</v>
      </c>
      <c r="E108" s="3"/>
      <c r="F108" s="1" t="s">
        <v>255</v>
      </c>
    </row>
    <row r="109" spans="1:6" x14ac:dyDescent="0.3">
      <c r="A109" s="41"/>
      <c r="B109" s="48"/>
      <c r="C109" s="1" t="s">
        <v>267</v>
      </c>
      <c r="D109" s="1" t="s">
        <v>266</v>
      </c>
      <c r="E109" s="3"/>
      <c r="F109" s="1" t="s">
        <v>149</v>
      </c>
    </row>
    <row r="110" spans="1:6" x14ac:dyDescent="0.3">
      <c r="A110" s="41"/>
      <c r="B110" s="52"/>
      <c r="E110" s="3"/>
    </row>
    <row r="111" spans="1:6" x14ac:dyDescent="0.3">
      <c r="A111" s="41"/>
      <c r="B111" s="51" t="s">
        <v>79</v>
      </c>
      <c r="C111" s="15" t="s">
        <v>131</v>
      </c>
      <c r="D111" s="15" t="s">
        <v>130</v>
      </c>
      <c r="E111" s="19"/>
      <c r="F111" s="15" t="s">
        <v>132</v>
      </c>
    </row>
    <row r="112" spans="1:6" x14ac:dyDescent="0.3">
      <c r="A112" s="41"/>
      <c r="B112" s="48"/>
      <c r="C112" s="1" t="s">
        <v>151</v>
      </c>
      <c r="D112" s="1" t="s">
        <v>148</v>
      </c>
      <c r="E112" s="3"/>
      <c r="F112" s="1" t="s">
        <v>149</v>
      </c>
    </row>
    <row r="113" spans="1:6" x14ac:dyDescent="0.3">
      <c r="A113" s="41"/>
      <c r="B113" s="52"/>
      <c r="C113" s="17"/>
      <c r="D113" s="17"/>
      <c r="E113" s="18"/>
      <c r="F113" s="17"/>
    </row>
    <row r="114" spans="1:6" x14ac:dyDescent="0.3">
      <c r="A114" s="41"/>
      <c r="B114" s="51" t="s">
        <v>340</v>
      </c>
      <c r="C114" s="15" t="s">
        <v>344</v>
      </c>
      <c r="D114" s="15" t="s">
        <v>347</v>
      </c>
      <c r="E114" s="19"/>
      <c r="F114" s="15" t="s">
        <v>346</v>
      </c>
    </row>
    <row r="115" spans="1:6" x14ac:dyDescent="0.3">
      <c r="A115" s="41"/>
      <c r="B115" s="48"/>
      <c r="C115" s="1" t="s">
        <v>345</v>
      </c>
      <c r="D115" s="1" t="s">
        <v>348</v>
      </c>
      <c r="E115" s="3"/>
      <c r="F115" s="1" t="s">
        <v>149</v>
      </c>
    </row>
    <row r="116" spans="1:6" x14ac:dyDescent="0.3">
      <c r="A116" s="41"/>
      <c r="B116" s="52"/>
      <c r="C116" s="17"/>
      <c r="D116" s="17"/>
      <c r="E116" s="18"/>
      <c r="F116" s="17"/>
    </row>
    <row r="117" spans="1:6" x14ac:dyDescent="0.3">
      <c r="A117" s="41"/>
      <c r="B117" s="48" t="s">
        <v>300</v>
      </c>
      <c r="C117" s="1" t="s">
        <v>330</v>
      </c>
      <c r="D117" s="1" t="s">
        <v>328</v>
      </c>
      <c r="E117" s="3"/>
      <c r="F117" s="1" t="s">
        <v>327</v>
      </c>
    </row>
    <row r="118" spans="1:6" x14ac:dyDescent="0.3">
      <c r="A118" s="41"/>
      <c r="B118" s="48"/>
      <c r="C118" s="1" t="s">
        <v>331</v>
      </c>
      <c r="D118" s="1" t="s">
        <v>329</v>
      </c>
      <c r="E118" s="3"/>
      <c r="F118" s="1" t="s">
        <v>149</v>
      </c>
    </row>
    <row r="119" spans="1:6" ht="15" thickBot="1" x14ac:dyDescent="0.35">
      <c r="A119" s="42"/>
      <c r="B119" s="49"/>
      <c r="C119" s="27"/>
      <c r="D119" s="27"/>
      <c r="E119" s="28"/>
      <c r="F119" s="27"/>
    </row>
    <row r="120" spans="1:6" x14ac:dyDescent="0.3">
      <c r="A120" s="40" t="s">
        <v>163</v>
      </c>
      <c r="B120" s="50" t="s">
        <v>13</v>
      </c>
      <c r="C120" s="12" t="s">
        <v>173</v>
      </c>
      <c r="D120" s="12" t="s">
        <v>172</v>
      </c>
      <c r="E120" s="12"/>
      <c r="F120" s="12" t="s">
        <v>140</v>
      </c>
    </row>
    <row r="121" spans="1:6" x14ac:dyDescent="0.3">
      <c r="A121" s="41"/>
      <c r="B121" s="48"/>
      <c r="C121" s="1" t="s">
        <v>174</v>
      </c>
      <c r="D121" s="1" t="s">
        <v>175</v>
      </c>
      <c r="F121" s="1" t="s">
        <v>140</v>
      </c>
    </row>
    <row r="122" spans="1:6" x14ac:dyDescent="0.3">
      <c r="A122" s="41"/>
      <c r="B122" s="52"/>
      <c r="C122" s="17"/>
      <c r="D122" s="17"/>
      <c r="E122" s="17"/>
      <c r="F122" s="17"/>
    </row>
    <row r="123" spans="1:6" x14ac:dyDescent="0.3">
      <c r="A123" s="41"/>
      <c r="B123" s="51" t="s">
        <v>183</v>
      </c>
      <c r="C123" s="1" t="s">
        <v>165</v>
      </c>
      <c r="D123" s="1" t="s">
        <v>164</v>
      </c>
      <c r="F123" s="1" t="s">
        <v>149</v>
      </c>
    </row>
    <row r="124" spans="1:6" x14ac:dyDescent="0.3">
      <c r="A124" s="41"/>
      <c r="B124" s="48"/>
      <c r="C124" s="1" t="s">
        <v>181</v>
      </c>
      <c r="D124" s="1" t="s">
        <v>268</v>
      </c>
      <c r="F124" s="1" t="s">
        <v>149</v>
      </c>
    </row>
    <row r="125" spans="1:6" x14ac:dyDescent="0.3">
      <c r="A125" s="41"/>
      <c r="B125" s="48"/>
      <c r="C125" s="1" t="s">
        <v>177</v>
      </c>
      <c r="D125" s="1" t="s">
        <v>176</v>
      </c>
      <c r="F125" s="1" t="s">
        <v>149</v>
      </c>
    </row>
    <row r="126" spans="1:6" x14ac:dyDescent="0.3">
      <c r="A126" s="41"/>
      <c r="B126" s="48"/>
      <c r="C126" s="1" t="s">
        <v>179</v>
      </c>
      <c r="D126" s="1" t="s">
        <v>178</v>
      </c>
      <c r="F126" s="1" t="s">
        <v>149</v>
      </c>
    </row>
    <row r="127" spans="1:6" x14ac:dyDescent="0.3">
      <c r="A127" s="41"/>
      <c r="B127" s="48"/>
      <c r="C127" s="1" t="s">
        <v>182</v>
      </c>
      <c r="D127" s="1" t="s">
        <v>180</v>
      </c>
      <c r="F127" s="1" t="s">
        <v>149</v>
      </c>
    </row>
    <row r="128" spans="1:6" x14ac:dyDescent="0.3">
      <c r="A128" s="41"/>
      <c r="B128" s="48"/>
      <c r="C128" s="1" t="s">
        <v>191</v>
      </c>
      <c r="D128" s="1" t="s">
        <v>187</v>
      </c>
      <c r="F128" s="1" t="s">
        <v>149</v>
      </c>
    </row>
    <row r="129" spans="1:6" x14ac:dyDescent="0.3">
      <c r="A129" s="41"/>
      <c r="B129" s="52"/>
    </row>
    <row r="130" spans="1:6" x14ac:dyDescent="0.3">
      <c r="A130" s="41"/>
      <c r="B130" s="51" t="s">
        <v>206</v>
      </c>
      <c r="C130" s="15" t="s">
        <v>203</v>
      </c>
      <c r="D130" s="15" t="s">
        <v>207</v>
      </c>
      <c r="E130" s="15"/>
      <c r="F130" s="15" t="s">
        <v>208</v>
      </c>
    </row>
    <row r="131" spans="1:6" x14ac:dyDescent="0.3">
      <c r="A131" s="41"/>
      <c r="B131" s="48"/>
      <c r="C131" s="1" t="s">
        <v>204</v>
      </c>
      <c r="D131" s="1" t="s">
        <v>210</v>
      </c>
      <c r="F131" s="1" t="s">
        <v>208</v>
      </c>
    </row>
    <row r="132" spans="1:6" x14ac:dyDescent="0.3">
      <c r="A132" s="41"/>
      <c r="B132" s="48"/>
      <c r="C132" s="1" t="s">
        <v>215</v>
      </c>
      <c r="D132" s="1" t="s">
        <v>214</v>
      </c>
      <c r="F132" s="1" t="s">
        <v>219</v>
      </c>
    </row>
    <row r="133" spans="1:6" x14ac:dyDescent="0.3">
      <c r="A133" s="41"/>
      <c r="B133" s="48"/>
      <c r="C133" s="1" t="s">
        <v>205</v>
      </c>
      <c r="D133" s="1" t="s">
        <v>209</v>
      </c>
      <c r="F133" s="1" t="s">
        <v>208</v>
      </c>
    </row>
    <row r="134" spans="1:6" x14ac:dyDescent="0.3">
      <c r="A134" s="41"/>
      <c r="B134" s="48"/>
      <c r="C134" s="1" t="s">
        <v>269</v>
      </c>
      <c r="D134" s="1" t="s">
        <v>270</v>
      </c>
      <c r="F134" s="1" t="s">
        <v>273</v>
      </c>
    </row>
    <row r="135" spans="1:6" x14ac:dyDescent="0.3">
      <c r="A135" s="41"/>
      <c r="B135" s="48"/>
      <c r="C135" s="1" t="s">
        <v>293</v>
      </c>
      <c r="D135" s="1" t="s">
        <v>294</v>
      </c>
      <c r="F135" s="1" t="s">
        <v>273</v>
      </c>
    </row>
    <row r="136" spans="1:6" x14ac:dyDescent="0.3">
      <c r="A136" s="41"/>
      <c r="B136" s="48"/>
      <c r="C136" s="1" t="s">
        <v>295</v>
      </c>
      <c r="D136" s="1" t="s">
        <v>296</v>
      </c>
      <c r="F136" s="1" t="s">
        <v>273</v>
      </c>
    </row>
    <row r="137" spans="1:6" x14ac:dyDescent="0.3">
      <c r="A137" s="41"/>
      <c r="B137" s="48"/>
      <c r="C137" s="1" t="s">
        <v>217</v>
      </c>
      <c r="D137" s="1" t="s">
        <v>216</v>
      </c>
      <c r="F137" s="1" t="s">
        <v>218</v>
      </c>
    </row>
    <row r="138" spans="1:6" x14ac:dyDescent="0.3">
      <c r="A138" s="41"/>
      <c r="B138" s="48"/>
      <c r="C138" s="1" t="s">
        <v>221</v>
      </c>
      <c r="D138" s="1" t="s">
        <v>211</v>
      </c>
      <c r="F138" s="1" t="s">
        <v>212</v>
      </c>
    </row>
    <row r="139" spans="1:6" x14ac:dyDescent="0.3">
      <c r="A139" s="41"/>
      <c r="B139" s="48"/>
      <c r="C139" s="1" t="s">
        <v>202</v>
      </c>
      <c r="D139" s="1" t="s">
        <v>220</v>
      </c>
      <c r="F139" s="1" t="s">
        <v>212</v>
      </c>
    </row>
    <row r="140" spans="1:6" x14ac:dyDescent="0.3">
      <c r="A140" s="41"/>
      <c r="B140" s="48"/>
      <c r="C140" s="1" t="s">
        <v>233</v>
      </c>
      <c r="D140" s="1" t="s">
        <v>400</v>
      </c>
      <c r="F140" s="1" t="s">
        <v>212</v>
      </c>
    </row>
    <row r="141" spans="1:6" x14ac:dyDescent="0.3">
      <c r="A141" s="41"/>
      <c r="B141" s="48"/>
      <c r="C141" s="1" t="s">
        <v>352</v>
      </c>
      <c r="D141" s="1" t="s">
        <v>351</v>
      </c>
      <c r="F141" s="1" t="s">
        <v>213</v>
      </c>
    </row>
    <row r="142" spans="1:6" x14ac:dyDescent="0.3">
      <c r="A142" s="41"/>
      <c r="B142" s="48"/>
      <c r="C142" s="1" t="s">
        <v>334</v>
      </c>
      <c r="D142" s="1" t="s">
        <v>353</v>
      </c>
      <c r="F142" s="1" t="s">
        <v>213</v>
      </c>
    </row>
    <row r="143" spans="1:6" x14ac:dyDescent="0.3">
      <c r="A143" s="41"/>
      <c r="B143" s="48"/>
      <c r="C143" s="1" t="s">
        <v>354</v>
      </c>
      <c r="D143" s="1" t="s">
        <v>324</v>
      </c>
      <c r="F143" s="1" t="s">
        <v>213</v>
      </c>
    </row>
    <row r="144" spans="1:6" x14ac:dyDescent="0.3">
      <c r="A144" s="41"/>
      <c r="B144" s="52"/>
    </row>
    <row r="145" spans="1:6" x14ac:dyDescent="0.3">
      <c r="A145" s="41"/>
      <c r="B145" s="51" t="s">
        <v>222</v>
      </c>
      <c r="C145" s="15" t="s">
        <v>224</v>
      </c>
      <c r="D145" s="15" t="s">
        <v>223</v>
      </c>
      <c r="E145" s="15"/>
      <c r="F145" s="15" t="s">
        <v>208</v>
      </c>
    </row>
    <row r="146" spans="1:6" x14ac:dyDescent="0.3">
      <c r="A146" s="41"/>
      <c r="B146" s="48"/>
      <c r="C146" s="1" t="s">
        <v>271</v>
      </c>
      <c r="D146" s="1" t="s">
        <v>272</v>
      </c>
      <c r="F146" s="1" t="s">
        <v>273</v>
      </c>
    </row>
    <row r="147" spans="1:6" x14ac:dyDescent="0.3">
      <c r="A147" s="41"/>
      <c r="B147" s="48"/>
      <c r="C147" s="1" t="s">
        <v>225</v>
      </c>
      <c r="D147" s="1" t="s">
        <v>226</v>
      </c>
      <c r="F147" s="1" t="s">
        <v>212</v>
      </c>
    </row>
    <row r="148" spans="1:6" x14ac:dyDescent="0.3">
      <c r="A148" s="41"/>
      <c r="B148" s="48"/>
      <c r="C148" s="1" t="s">
        <v>234</v>
      </c>
      <c r="D148" s="1" t="s">
        <v>235</v>
      </c>
      <c r="F148" s="1" t="s">
        <v>212</v>
      </c>
    </row>
    <row r="149" spans="1:6" x14ac:dyDescent="0.3">
      <c r="A149" s="41"/>
      <c r="B149" s="48"/>
      <c r="C149" s="1" t="s">
        <v>335</v>
      </c>
      <c r="D149" s="1" t="s">
        <v>336</v>
      </c>
      <c r="F149" s="1" t="s">
        <v>213</v>
      </c>
    </row>
    <row r="150" spans="1:6" x14ac:dyDescent="0.3">
      <c r="A150" s="41"/>
      <c r="B150" s="52"/>
      <c r="C150" s="17"/>
      <c r="D150" s="17"/>
      <c r="E150" s="17"/>
      <c r="F150" s="17"/>
    </row>
    <row r="151" spans="1:6" x14ac:dyDescent="0.3">
      <c r="A151" s="41"/>
      <c r="B151" s="53" t="s">
        <v>355</v>
      </c>
      <c r="C151" s="1" t="s">
        <v>356</v>
      </c>
      <c r="D151" s="1" t="s">
        <v>358</v>
      </c>
      <c r="F151" s="1" t="s">
        <v>314</v>
      </c>
    </row>
    <row r="152" spans="1:6" x14ac:dyDescent="0.3">
      <c r="A152" s="41"/>
      <c r="B152" s="53"/>
      <c r="C152" s="1" t="s">
        <v>357</v>
      </c>
      <c r="D152" s="1" t="s">
        <v>359</v>
      </c>
      <c r="F152" s="1" t="s">
        <v>314</v>
      </c>
    </row>
  </sheetData>
  <mergeCells count="26">
    <mergeCell ref="A2:A46"/>
    <mergeCell ref="B2:B11"/>
    <mergeCell ref="B12:B23"/>
    <mergeCell ref="A47:A78"/>
    <mergeCell ref="B67:B78"/>
    <mergeCell ref="B24:B33"/>
    <mergeCell ref="B47:B56"/>
    <mergeCell ref="B57:B66"/>
    <mergeCell ref="B34:B46"/>
    <mergeCell ref="B117:B119"/>
    <mergeCell ref="B79:B81"/>
    <mergeCell ref="A79:A104"/>
    <mergeCell ref="B85:B94"/>
    <mergeCell ref="B95:B104"/>
    <mergeCell ref="A105:A119"/>
    <mergeCell ref="B105:B107"/>
    <mergeCell ref="B108:B110"/>
    <mergeCell ref="B111:B113"/>
    <mergeCell ref="B114:B116"/>
    <mergeCell ref="B82:B84"/>
    <mergeCell ref="B145:B150"/>
    <mergeCell ref="B151:B152"/>
    <mergeCell ref="A120:A152"/>
    <mergeCell ref="B120:B122"/>
    <mergeCell ref="B130:B144"/>
    <mergeCell ref="B123:B129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2026-03-06T12:30:58Z</dcterms:modified>
</cp:coreProperties>
</file>