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hem38994\Documents\GitHub\FENES_P2X\"/>
    </mc:Choice>
  </mc:AlternateContent>
  <xr:revisionPtr revIDLastSave="0" documentId="13_ncr:1_{CB76FEA1-1E0F-43A3-AAF3-11FCBFD10D31}" xr6:coauthVersionLast="47" xr6:coauthVersionMax="47" xr10:uidLastSave="{00000000-0000-0000-0000-000000000000}"/>
  <bookViews>
    <workbookView xWindow="-57720" yWindow="-4455" windowWidth="29040" windowHeight="15720" xr2:uid="{00000000-000D-0000-FFFF-FFFF00000000}"/>
  </bookViews>
  <sheets>
    <sheet name="Ergebnisse" sheetId="1" r:id="rId1"/>
    <sheet name="Grafike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2" i="2"/>
  <c r="B5" i="2"/>
  <c r="B4" i="2"/>
  <c r="D5" i="2"/>
  <c r="D4" i="2"/>
  <c r="D3" i="2"/>
  <c r="B3" i="2"/>
  <c r="B2" i="2"/>
  <c r="D2" i="2"/>
</calcChain>
</file>

<file path=xl/sharedStrings.xml><?xml version="1.0" encoding="utf-8"?>
<sst xmlns="http://schemas.openxmlformats.org/spreadsheetml/2006/main" count="910" uniqueCount="453">
  <si>
    <t>Kategorie</t>
  </si>
  <si>
    <t>Technologie</t>
  </si>
  <si>
    <t>Filteroption</t>
  </si>
  <si>
    <t>Beschreibung</t>
  </si>
  <si>
    <t>Variable</t>
  </si>
  <si>
    <t>Einheit</t>
  </si>
  <si>
    <t>Hoechst_Ammoniak_1_Greenfield</t>
  </si>
  <si>
    <t>Hoechst_Ammoniak_2_Brownfield</t>
  </si>
  <si>
    <t>Hoechst_Ammoniak_3_Brownfield_H2</t>
  </si>
  <si>
    <t>Hoechst_Ammoniak_4_Brownfield_H2_N2</t>
  </si>
  <si>
    <t>Hoechst_Ammoniak_5_Brownfield_H2_N2_HB</t>
  </si>
  <si>
    <t>Hoechst_FischerTropsch_1_Naphta_Greenfield</t>
  </si>
  <si>
    <t>Hoechst_FischerTropsch_2_Naphta_Brownfield</t>
  </si>
  <si>
    <t>Hoechst_FischerTropsch_3_Naphta_Bio_Brownfield</t>
  </si>
  <si>
    <t>Hoechst_FischerTropsch_4_Naphta_Bio_H2_Brownfield</t>
  </si>
  <si>
    <t>Hoechst_FischerTropsch_5_Naphta_Bio_H2_FT_Brownfield</t>
  </si>
  <si>
    <t>Hoechst_Methanol_1_DAC_Greenfield</t>
  </si>
  <si>
    <t>Hoechst_Methanol_2_DAC_Brownfield</t>
  </si>
  <si>
    <t>Hoechst_Methanol_3_Bio_Brownfield</t>
  </si>
  <si>
    <t>Hoechst_Methanol_4_Bio_H2_Brownfield</t>
  </si>
  <si>
    <t>Leuna_Ammoniak_1_Greenfield</t>
  </si>
  <si>
    <t>Leuna_Ammoniak_2_Brownfield</t>
  </si>
  <si>
    <t>Leuna_Ammoniak_3_Brownfield_H2</t>
  </si>
  <si>
    <t>Leuna_Ammoniak_4_Brownfield_H2_N2</t>
  </si>
  <si>
    <t>Leuna_FischerTropsch_1_Naphta_Greenfield</t>
  </si>
  <si>
    <t>Leuna_FischerTropsch_2_Naphta_Brownfield</t>
  </si>
  <si>
    <t>Leuna_FischerTropsch_3_Naphta_Bio_Brownfield</t>
  </si>
  <si>
    <t>Leuna_FischerTropsch_4_Naphta_Bio_H2_Brownfield</t>
  </si>
  <si>
    <t>Leuna_FischerTropsch_5_Naphta_Bio_H2_FT_Brownfield</t>
  </si>
  <si>
    <t>Leuna_Methanol_1_DAC_Greenfield</t>
  </si>
  <si>
    <t>Leuna_Methanol_2_DAC_Brownfield</t>
  </si>
  <si>
    <t>Leuna_Methanol_3_Bio_Brownfield</t>
  </si>
  <si>
    <t>Leuna_Methanol_4_Bio_H2_Brownfield</t>
  </si>
  <si>
    <t>Leuna_Methanol_5_Bio_H2_Methanolreaktor_Brownfield</t>
  </si>
  <si>
    <t>Memmingen_Ammoniak_1_Greenfield</t>
  </si>
  <si>
    <t>Memmingen_Ammoniak_2_Brownfield</t>
  </si>
  <si>
    <t>Memmingen_FischerTropsch_1_Naphta_Greenfield</t>
  </si>
  <si>
    <t>Memmingen_FischerTropsch_2_Naphta_Brownfield</t>
  </si>
  <si>
    <t>Memmingen_FischerTropsch_3_Naphta_Bio_Brownfield</t>
  </si>
  <si>
    <t>Memmingen_Methanol_1_DAC_Greenfield</t>
  </si>
  <si>
    <t>Memmingen_Methanol_2_DAC_Brownfield</t>
  </si>
  <si>
    <t>Memmingen_Methanol_3_Bio_Brownfield</t>
  </si>
  <si>
    <t>Memmingen_Methanol_4_Bio_H2_Brownfield</t>
  </si>
  <si>
    <t>Patagonien_Ammoniak_1_Greenfield</t>
  </si>
  <si>
    <t>Patagonien_Ammoniak_2_Brownfield</t>
  </si>
  <si>
    <t>Patagonien_FischerTropsch_1_Naphta_Greenfield</t>
  </si>
  <si>
    <t>Patagonien_FischerTropsch_2_Naphta_Brownfield</t>
  </si>
  <si>
    <t>Patagonien_Methanol_1_DAC_Greenfield</t>
  </si>
  <si>
    <t>Patagonien_Methanol_2_DAC_Brownfield</t>
  </si>
  <si>
    <t>Patagonien_Methanol_6_Bio_Methanolreaktor_Greenfield</t>
  </si>
  <si>
    <t>Suedafrika_Ammoniak_1_Greenfield</t>
  </si>
  <si>
    <t>Suedafrika_Ammoniak_2_Brownfield</t>
  </si>
  <si>
    <t>Suedafrika_FischerTropsch_1_Naphta_Greenfield</t>
  </si>
  <si>
    <t>Suedafrika_FischerTropsch_2_Naphta_Brownfield</t>
  </si>
  <si>
    <t>Suedafrika_Methanol_1_DAC_Greenfield</t>
  </si>
  <si>
    <t>Suedafrika_Methanol_2_DAC_Brownfield</t>
  </si>
  <si>
    <t>Konverter</t>
  </si>
  <si>
    <t>PEM Elektrolyse</t>
  </si>
  <si>
    <t>PEM</t>
  </si>
  <si>
    <t>Annuität je Leistung</t>
  </si>
  <si>
    <t>annuity_pem</t>
  </si>
  <si>
    <t>€/ kWa</t>
  </si>
  <si>
    <t>Installierte Leistung</t>
  </si>
  <si>
    <t>result_pem_leistung</t>
  </si>
  <si>
    <t>kW</t>
  </si>
  <si>
    <t>Strombedarf</t>
  </si>
  <si>
    <t>result_pem_flowsum_elin</t>
  </si>
  <si>
    <t>MWh/a</t>
  </si>
  <si>
    <t>Wasserstoffprofuktion</t>
  </si>
  <si>
    <t>result_pem_flowsum_h2out</t>
  </si>
  <si>
    <t>kg_H2/a</t>
  </si>
  <si>
    <t>Investitionskosten unverzinst</t>
  </si>
  <si>
    <t>calc_gesamtinvest_pem</t>
  </si>
  <si>
    <t>€</t>
  </si>
  <si>
    <t>Betriebskosten Fix</t>
  </si>
  <si>
    <t>calc_opex_fix_pem</t>
  </si>
  <si>
    <t>€/a</t>
  </si>
  <si>
    <t>Annuität</t>
  </si>
  <si>
    <t>calc_annuity_pem</t>
  </si>
  <si>
    <t>Investitionskosten verzinst</t>
  </si>
  <si>
    <t>calc_verzinstinvest_pem</t>
  </si>
  <si>
    <t>Gesamte Kosten pro Jahr</t>
  </si>
  <si>
    <t>calc_cost_pem</t>
  </si>
  <si>
    <t>Methanolsynthese</t>
  </si>
  <si>
    <t>MS</t>
  </si>
  <si>
    <t>annuity_ms</t>
  </si>
  <si>
    <t>€ h/ kg a</t>
  </si>
  <si>
    <t>Methanolproduktion</t>
  </si>
  <si>
    <t>result_ms_flowsum_ch3ohout</t>
  </si>
  <si>
    <t>kg_CH3OH/a</t>
  </si>
  <si>
    <t>Wasserstoffbedarf</t>
  </si>
  <si>
    <t>result_ms_flowsum_h2in</t>
  </si>
  <si>
    <t>Kohlendioxidbedarf</t>
  </si>
  <si>
    <t>result_ms_flowsum_co2in</t>
  </si>
  <si>
    <t>kg_CO2/a</t>
  </si>
  <si>
    <t>result_ms_flowsum_elin</t>
  </si>
  <si>
    <t>calc_gesamtinvest_ms</t>
  </si>
  <si>
    <t>calc_opex_fix_ms</t>
  </si>
  <si>
    <t>calc_annuity_ms</t>
  </si>
  <si>
    <t>calc_verzinstinvest_ms</t>
  </si>
  <si>
    <t>calc_cost_ms</t>
  </si>
  <si>
    <t>Haber-Bosch</t>
  </si>
  <si>
    <t>HB</t>
  </si>
  <si>
    <t>annuity_hb</t>
  </si>
  <si>
    <t>Ammoniakproduktion</t>
  </si>
  <si>
    <t>result_hb_flowsum_nh3out</t>
  </si>
  <si>
    <t>kg_NH3/a</t>
  </si>
  <si>
    <t>result_hb_flowsum_h2in</t>
  </si>
  <si>
    <t>Stickstoffbedarf</t>
  </si>
  <si>
    <t>result_hb_flowsum_n2in</t>
  </si>
  <si>
    <t>kg_N2/a</t>
  </si>
  <si>
    <t>result_hb_flowsum_elin</t>
  </si>
  <si>
    <t>calc_gesamtinvest_hb</t>
  </si>
  <si>
    <t>calc_opex_fix_hb</t>
  </si>
  <si>
    <t>calc_annuity_hb</t>
  </si>
  <si>
    <t>calc_verzinstinvest_hb</t>
  </si>
  <si>
    <t>calc_cost_hb</t>
  </si>
  <si>
    <t>N2-Bereitstellung / ASU kryogen</t>
  </si>
  <si>
    <t>ASU</t>
  </si>
  <si>
    <t>annuity_asu</t>
  </si>
  <si>
    <t>result_asu_leistung</t>
  </si>
  <si>
    <t>kW_el</t>
  </si>
  <si>
    <t>result_asu_flowsum_elin</t>
  </si>
  <si>
    <t>Stickstoffproduktion</t>
  </si>
  <si>
    <t>result_asu_flowsum_n2out</t>
  </si>
  <si>
    <t>calc_gesamtinvest_asu</t>
  </si>
  <si>
    <t>calc_opex_fix_asu</t>
  </si>
  <si>
    <t>calc_annuity_asu</t>
  </si>
  <si>
    <t>calc_verzinstinvest_asu</t>
  </si>
  <si>
    <t>calc_cost_asu</t>
  </si>
  <si>
    <t>Fischer Tropsch</t>
  </si>
  <si>
    <t>FT</t>
  </si>
  <si>
    <t>annuity_ft</t>
  </si>
  <si>
    <t>Kerosinproduktion</t>
  </si>
  <si>
    <t>result_ft_flowsum_safout</t>
  </si>
  <si>
    <t>kg_SAF/a</t>
  </si>
  <si>
    <t>Naphthaproduktion</t>
  </si>
  <si>
    <t>result_ft_flowsum_naphout</t>
  </si>
  <si>
    <t>kg_Naphtha/a</t>
  </si>
  <si>
    <t>result_ft_flowsum_h2in</t>
  </si>
  <si>
    <t>result_ft_flowsum_co2in</t>
  </si>
  <si>
    <t>result_ft_flowsum_elin</t>
  </si>
  <si>
    <t>calc_gesamtinvest_ft</t>
  </si>
  <si>
    <t>calc_opex_fix_ft</t>
  </si>
  <si>
    <t>calc_annuity_ft</t>
  </si>
  <si>
    <t>calc_verzinstinvest_ft</t>
  </si>
  <si>
    <t>calc_cost_ft</t>
  </si>
  <si>
    <t>CO2-Bereitstellung / Industriegasabscheidung MEA</t>
  </si>
  <si>
    <t>MEA</t>
  </si>
  <si>
    <t>annuity_mea</t>
  </si>
  <si>
    <t>result_mea_leistung</t>
  </si>
  <si>
    <t>result_mea_flowsum_elin</t>
  </si>
  <si>
    <t>Wärmebedarf</t>
  </si>
  <si>
    <t>result_mea_flowsum_qin</t>
  </si>
  <si>
    <t>MWh_th/a</t>
  </si>
  <si>
    <t>Biogasbedarf</t>
  </si>
  <si>
    <t>result_mea_flowsum_biogasin</t>
  </si>
  <si>
    <t>kg_Biogas/a</t>
  </si>
  <si>
    <t>Kohlendioxidproduktion</t>
  </si>
  <si>
    <t>result_mea_flowsum_co2out</t>
  </si>
  <si>
    <t>calc_gesamtinvest_mea</t>
  </si>
  <si>
    <t>calc_opex_fix_mea</t>
  </si>
  <si>
    <t>Betriebskosten Var</t>
  </si>
  <si>
    <t>calc_opex_var_mea</t>
  </si>
  <si>
    <t>calc_annuity_mea</t>
  </si>
  <si>
    <t>calc_verzinstinvest_mea</t>
  </si>
  <si>
    <t>calc_cost_mea</t>
  </si>
  <si>
    <t>Heatpump</t>
  </si>
  <si>
    <t>HP</t>
  </si>
  <si>
    <t>annuity_hp</t>
  </si>
  <si>
    <t>€/ kW_th a</t>
  </si>
  <si>
    <t>result_hp_leistung</t>
  </si>
  <si>
    <t>result_hp_flowsum_elin</t>
  </si>
  <si>
    <t>MWh_el/a</t>
  </si>
  <si>
    <t>Waermeproduktion</t>
  </si>
  <si>
    <t>result_hp_flowsum_qout</t>
  </si>
  <si>
    <t>calc_gesamtinvest_hp</t>
  </si>
  <si>
    <t>calc_opex_fix_hp</t>
  </si>
  <si>
    <t>calc_annuity_hp</t>
  </si>
  <si>
    <t>calc_verzinstinvest_hp</t>
  </si>
  <si>
    <t>calc_cost_hp</t>
  </si>
  <si>
    <t>CO2-Bereitstellung / Direct Air Capture</t>
  </si>
  <si>
    <t>DAC</t>
  </si>
  <si>
    <t>annuity_dac</t>
  </si>
  <si>
    <t>result_dac_leistung</t>
  </si>
  <si>
    <t>result_dac_flowsum_elin</t>
  </si>
  <si>
    <t>result_dac_flowsum_qin</t>
  </si>
  <si>
    <t>result_dac_flowsum_co2out</t>
  </si>
  <si>
    <t>calc_gesamtinvest_dac</t>
  </si>
  <si>
    <t>calc_opex_fix_dac</t>
  </si>
  <si>
    <t>calc_annuity_dac</t>
  </si>
  <si>
    <t>calc_verzinstinvest_dac</t>
  </si>
  <si>
    <t>calc_cost_dac</t>
  </si>
  <si>
    <t>Methanisierung</t>
  </si>
  <si>
    <t>MG</t>
  </si>
  <si>
    <t>annuity_mg</t>
  </si>
  <si>
    <t>result_mg_flowsum_ch4out</t>
  </si>
  <si>
    <t>kg_CH4/a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</si>
  <si>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</si>
  <si>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</si>
  <si>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</si>
  <si>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</si>
  <si>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</si>
  <si>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</si>
  <si>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</si>
  <si>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</si>
  <si>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Speicher</t>
  </si>
  <si>
    <t xml:space="preserve">H2-Speicher
Druckspeicher </t>
  </si>
  <si>
    <t>H2S</t>
  </si>
  <si>
    <t>Annuität je Kapazität</t>
  </si>
  <si>
    <t>annuity_h2s</t>
  </si>
  <si>
    <t>€/ kg a</t>
  </si>
  <si>
    <t>Installierte Kapazität</t>
  </si>
  <si>
    <t>result_h2s_kapa</t>
  </si>
  <si>
    <t>kg</t>
  </si>
  <si>
    <t>Einspeichern Wasserstoff</t>
  </si>
  <si>
    <t>result_h2s_flowsum_in</t>
  </si>
  <si>
    <t>Ausspeichern Wasserstoff</t>
  </si>
  <si>
    <t>result_h2s_flowsum_out</t>
  </si>
  <si>
    <t>calc_gesamtinvest_h2s</t>
  </si>
  <si>
    <t>calc_opex_fix_h2s</t>
  </si>
  <si>
    <t>calc_annuity_h2s</t>
  </si>
  <si>
    <t>calc_verzinstinvest_h2s</t>
  </si>
  <si>
    <t>calc_cost_h2s</t>
  </si>
  <si>
    <t>Wärmespeicher</t>
  </si>
  <si>
    <t>QS</t>
  </si>
  <si>
    <t>annuity_qs</t>
  </si>
  <si>
    <t>€/ kWh_th a</t>
  </si>
  <si>
    <t>result_qs_kapa</t>
  </si>
  <si>
    <t>kWh_th</t>
  </si>
  <si>
    <t>result_qs_flowsum_in</t>
  </si>
  <si>
    <t>kWh_th/a</t>
  </si>
  <si>
    <t>result_qs_flowsum_out</t>
  </si>
  <si>
    <t>calc_gesamtinvest_qs</t>
  </si>
  <si>
    <t>calc_opex_fix_qs</t>
  </si>
  <si>
    <t>calc_annuity_qs</t>
  </si>
  <si>
    <t>calc_verzinstinvest_qs</t>
  </si>
  <si>
    <t>calc_cost_qs</t>
  </si>
  <si>
    <t>Batterie
Li-Ion</t>
  </si>
  <si>
    <t>BAT</t>
  </si>
  <si>
    <t>annuity_bat_leistung</t>
  </si>
  <si>
    <t>annuity_bat_kapa</t>
  </si>
  <si>
    <t>€/ kWh a</t>
  </si>
  <si>
    <t>result_bat_kapa</t>
  </si>
  <si>
    <t>kWh</t>
  </si>
  <si>
    <t>result_bat_leistung</t>
  </si>
  <si>
    <t>Batterie Ausspeichern</t>
  </si>
  <si>
    <t>result_bat_flowsum_out</t>
  </si>
  <si>
    <t>Batterie Einspeichern</t>
  </si>
  <si>
    <t>result_bat_flowsum_in</t>
  </si>
  <si>
    <t>calc_gesamtinvest_bat</t>
  </si>
  <si>
    <t>calc_opex_fix_bat</t>
  </si>
  <si>
    <t>calc_annuity_bat</t>
  </si>
  <si>
    <t>calc_verzinstinvest_bat</t>
  </si>
  <si>
    <t>calc_cost_bat</t>
  </si>
  <si>
    <t>Quellen</t>
  </si>
  <si>
    <t>Stromnetz</t>
  </si>
  <si>
    <t>Netz</t>
  </si>
  <si>
    <t>Netzbezug Strom</t>
  </si>
  <si>
    <t>result_strombezug_flowsum</t>
  </si>
  <si>
    <t>Kosten Netzbezug</t>
  </si>
  <si>
    <t>calc_strombezug_kosten</t>
  </si>
  <si>
    <t>Stickstoff</t>
  </si>
  <si>
    <t>N2</t>
  </si>
  <si>
    <t>Bezug Stickstoff</t>
  </si>
  <si>
    <t>result_n2bezug_flowsum</t>
  </si>
  <si>
    <t>calc_n2bezug_kosten</t>
  </si>
  <si>
    <t>Wasserstoff</t>
  </si>
  <si>
    <t>H2</t>
  </si>
  <si>
    <t>Wasserstoff Bezug</t>
  </si>
  <si>
    <t>result_h2bezug_flowsum</t>
  </si>
  <si>
    <t>Kosten Wasserstoffbezug</t>
  </si>
  <si>
    <t>calc_h2bezug_kosten</t>
  </si>
  <si>
    <t>Biogas</t>
  </si>
  <si>
    <t>BIO</t>
  </si>
  <si>
    <t>Biogas Bezug</t>
  </si>
  <si>
    <t>result_biogasbezug_flowsum</t>
  </si>
  <si>
    <t>Kosten Biogas</t>
  </si>
  <si>
    <t>calc_biogasbezug_kosten</t>
  </si>
  <si>
    <t>PV</t>
  </si>
  <si>
    <t>annuity_pv</t>
  </si>
  <si>
    <t>result_pv_leistung</t>
  </si>
  <si>
    <t>PV-Strom Erzeugung</t>
  </si>
  <si>
    <t>result_pv_flowsum_generation</t>
  </si>
  <si>
    <t>calc_gesamtinvest_pv</t>
  </si>
  <si>
    <t>calc_opex_fix_pv</t>
  </si>
  <si>
    <t>calc_opex_var_pv</t>
  </si>
  <si>
    <t>calc_annuity_pv</t>
  </si>
  <si>
    <t>calc_verzinstinvest_pv</t>
  </si>
  <si>
    <t>calc_cost_pv</t>
  </si>
  <si>
    <t>Wind Onshore</t>
  </si>
  <si>
    <t>WKA</t>
  </si>
  <si>
    <t>annuity_wkaon</t>
  </si>
  <si>
    <t xml:space="preserve">Installierte Leistung </t>
  </si>
  <si>
    <t>result_wka_leistung</t>
  </si>
  <si>
    <t>Windstrom Erzeugung</t>
  </si>
  <si>
    <t>result_wka_flowsum_generation</t>
  </si>
  <si>
    <t>calc_gesamtinvest_wka</t>
  </si>
  <si>
    <t>calc_opex_fix_wkaon</t>
  </si>
  <si>
    <t>calc_opex_var_wkaon</t>
  </si>
  <si>
    <t>calc_annuity_wka</t>
  </si>
  <si>
    <t>calc_verzinstinvest_wka</t>
  </si>
  <si>
    <t>calc_cost_wkaon</t>
  </si>
  <si>
    <t>Senken</t>
  </si>
  <si>
    <t>Stromverkauf</t>
  </si>
  <si>
    <t>result_stromverkauf_flowsum</t>
  </si>
  <si>
    <t>Schattenvariable Einnahmen Stromverkauf</t>
  </si>
  <si>
    <t>calc_einnahmen_stromverkauf_schattenvariable</t>
  </si>
  <si>
    <t>Einnahmen aus Stromverkauf</t>
  </si>
  <si>
    <t>calc_einnahmen_stromverkauf</t>
  </si>
  <si>
    <t>Waerme Verkauf</t>
  </si>
  <si>
    <t>Q</t>
  </si>
  <si>
    <t>Waermeverkauf</t>
  </si>
  <si>
    <t>result_qverkauf_flowsum</t>
  </si>
  <si>
    <t>Schattenvariable Einnahmen Wärmeverkauf</t>
  </si>
  <si>
    <t>calc_einnahmen_qverkauf_schattenvariable</t>
  </si>
  <si>
    <t>Einnahmen aus Wärmeverkauf</t>
  </si>
  <si>
    <t>calc_einnnahmen_qverkauf</t>
  </si>
  <si>
    <t>Wasserstoff Verkauf</t>
  </si>
  <si>
    <t>Wasserstoffverkauf</t>
  </si>
  <si>
    <t>result_h2verkauf_flowsum</t>
  </si>
  <si>
    <t>Einnahmen aus Wasserstoffverkauf</t>
  </si>
  <si>
    <t>calc_einnahmen_h2verkauf</t>
  </si>
  <si>
    <t>Methanol Verkauf</t>
  </si>
  <si>
    <t>CH3OH</t>
  </si>
  <si>
    <t>Methanolverkauf</t>
  </si>
  <si>
    <t>result_ch3ohverkauf_flowsum</t>
  </si>
  <si>
    <t>Einnahmen aus Methanolverkauf</t>
  </si>
  <si>
    <t>calc_einnahmen_ch3ohverkauf</t>
  </si>
  <si>
    <t>Ammoniak Verkauf</t>
  </si>
  <si>
    <t>NH3</t>
  </si>
  <si>
    <t>Ammoniakverkauf</t>
  </si>
  <si>
    <t>result_nh3verkauf_flowsum</t>
  </si>
  <si>
    <t>Einnahmen aus Ammoniakverkauf</t>
  </si>
  <si>
    <t>calc_einnahmen_nh3verkauf</t>
  </si>
  <si>
    <t>Naphtha Verkauf</t>
  </si>
  <si>
    <t>NAPHTA</t>
  </si>
  <si>
    <t>Naphthaverkauf</t>
  </si>
  <si>
    <t>result_naphverkauf_flowsum</t>
  </si>
  <si>
    <t>Einnahmen aus Naphthaverkauf</t>
  </si>
  <si>
    <t>calc_einnahmen_naphverkauf</t>
  </si>
  <si>
    <t>Kerosin Verkauf</t>
  </si>
  <si>
    <t>SAF</t>
  </si>
  <si>
    <t>Kerosinverkauf</t>
  </si>
  <si>
    <t>result_safverkauf_flowsum</t>
  </si>
  <si>
    <t>Einnahmen aus Kerosinverkauf</t>
  </si>
  <si>
    <t>calc_einnahmen_safverkauf</t>
  </si>
  <si>
    <t>Methane Verkauf</t>
  </si>
  <si>
    <t>CH4</t>
  </si>
  <si>
    <t>Methaneverkauf</t>
  </si>
  <si>
    <t>result_ch4verkauf_flowsum</t>
  </si>
  <si>
    <t>Einnahmen aus Methaneverkauf</t>
  </si>
  <si>
    <t>calc_einnahmen_ch4verkauf</t>
  </si>
  <si>
    <t>Energiesystem</t>
  </si>
  <si>
    <t>Lebensdauer</t>
  </si>
  <si>
    <t>EUR</t>
  </si>
  <si>
    <t>Gesamte verzinste Investitionskosten</t>
  </si>
  <si>
    <t>calc_verzinstinvest_gesamt</t>
  </si>
  <si>
    <t>Gesamte unverzinste Investitionskosten</t>
  </si>
  <si>
    <t>calc_gesamtinvest</t>
  </si>
  <si>
    <t>Pro Jahr</t>
  </si>
  <si>
    <t>Gesamte Betriebskosten pro Jahr</t>
  </si>
  <si>
    <t>calc_opex_gesamt</t>
  </si>
  <si>
    <t>Gesamte Annuität pro Jahr</t>
  </si>
  <si>
    <t>calc_annuity_gesamt</t>
  </si>
  <si>
    <t>Gesamte Einnahmen pro Jahr</t>
  </si>
  <si>
    <t>calc_einnahmen_gesamt</t>
  </si>
  <si>
    <t>Gesamte Ausgaben pro Jahr</t>
  </si>
  <si>
    <t>calc_ausgaben_gesamt</t>
  </si>
  <si>
    <t>Gewinn/Verlust pro Jahr</t>
  </si>
  <si>
    <t>calc_GuV</t>
  </si>
  <si>
    <t>Gesamte Ausgaben pro Jahr Technologien</t>
  </si>
  <si>
    <t>calc_cost_gesamt</t>
  </si>
  <si>
    <t>Gestehungskosten</t>
  </si>
  <si>
    <t>LCO</t>
  </si>
  <si>
    <t>Levelized Cost of Wind</t>
  </si>
  <si>
    <t>calc_lcoe_wka</t>
  </si>
  <si>
    <t>ct/kWh</t>
  </si>
  <si>
    <t>Levelized Cost of PV</t>
  </si>
  <si>
    <t>calc_lcoe_pv</t>
  </si>
  <si>
    <t>Levelized Cost of Battery</t>
  </si>
  <si>
    <t>calc_lcoe_bat</t>
  </si>
  <si>
    <t>ct/kWh Speichermenge</t>
  </si>
  <si>
    <t>Levelized Cost of Electricity</t>
  </si>
  <si>
    <t>calc_lcoe_mix</t>
  </si>
  <si>
    <t>Levelized Cost of Heatpump</t>
  </si>
  <si>
    <t>calc_lcoh_hp</t>
  </si>
  <si>
    <t>ct/kWh_th</t>
  </si>
  <si>
    <t>Levelized Cost of Heatstorage</t>
  </si>
  <si>
    <t>calc_lcoh_qs</t>
  </si>
  <si>
    <t>Levelized Cost of Heat</t>
  </si>
  <si>
    <t>calc_lcoh_q</t>
  </si>
  <si>
    <t>Levelized Cost of Hydrogen Storage</t>
  </si>
  <si>
    <t>calc_lcoh_h2s</t>
  </si>
  <si>
    <t>€/kg Speichermenge</t>
  </si>
  <si>
    <t>Levelized Cost of Electrolysis</t>
  </si>
  <si>
    <t>calc_lcoh_pem</t>
  </si>
  <si>
    <t>€/kg</t>
  </si>
  <si>
    <t>Levelized Cost of Hydrogen</t>
  </si>
  <si>
    <t>calc_lcoh_h2</t>
  </si>
  <si>
    <t>Levelized Cost of Carbon</t>
  </si>
  <si>
    <t>calc_lcon_dac</t>
  </si>
  <si>
    <t>Levelized Cost of Methanol</t>
  </si>
  <si>
    <t>calc_lcof_ms</t>
  </si>
  <si>
    <t>€/t</t>
  </si>
  <si>
    <t>Levelized Cost of Nitrogen</t>
  </si>
  <si>
    <t>calc_lcon_asu</t>
  </si>
  <si>
    <t>Levelized Cost of Ammonia</t>
  </si>
  <si>
    <t>calc_lcof_hb</t>
  </si>
  <si>
    <t>calc_lcon_mea</t>
  </si>
  <si>
    <t>Levelized Cost of Naphtha</t>
  </si>
  <si>
    <t>calc_lcof_naph</t>
  </si>
  <si>
    <t>Levelized Cost of Kerosin</t>
  </si>
  <si>
    <t>calc_lcof_saf</t>
  </si>
  <si>
    <t>Levelized Cost of FT (Kerosin+Naphtha)</t>
  </si>
  <si>
    <t>calc_lcof_ft</t>
  </si>
  <si>
    <t>Levelized Cost of System Electricity</t>
  </si>
  <si>
    <t>calc_lcose_ges</t>
  </si>
  <si>
    <t>Levelized Cost of Methane</t>
  </si>
  <si>
    <t>calc_lcof_mg</t>
  </si>
  <si>
    <t>Levelized Cost of System Hydrogen</t>
  </si>
  <si>
    <t>calc_lcosh_ges</t>
  </si>
  <si>
    <t>Gesamtkosten pro Energieträger</t>
  </si>
  <si>
    <t>EUR_GES</t>
  </si>
  <si>
    <t>Gesamtkosten pro kWh</t>
  </si>
  <si>
    <t>calc_cost_el</t>
  </si>
  <si>
    <t>Gesamtkosten pro kWh thermisch</t>
  </si>
  <si>
    <t>calc_cost_q</t>
  </si>
  <si>
    <t>Gesamtkosten pro kg Wasserstoff</t>
  </si>
  <si>
    <t>calc_cost_h2</t>
  </si>
  <si>
    <t>Gesamtkosten pro kg Kohlendioxid</t>
  </si>
  <si>
    <t>calc_cost_co2</t>
  </si>
  <si>
    <t>Gesamtkosten pro t Methanol</t>
  </si>
  <si>
    <t>calc_cost_ch3oh</t>
  </si>
  <si>
    <t>Gesamtkosten pro kg Stickstoff</t>
  </si>
  <si>
    <t>calc_cost_n2</t>
  </si>
  <si>
    <t>Gesamtkosten pro t Ammoniak</t>
  </si>
  <si>
    <t>calc_cost_nh3</t>
  </si>
  <si>
    <t>Gesamtkosten pro t Methan</t>
  </si>
  <si>
    <t>calc_cost_ch4</t>
  </si>
  <si>
    <t>Gesamtkosten pro t Kerosin</t>
  </si>
  <si>
    <t>calc_cost_saf</t>
  </si>
  <si>
    <t>Verkaufspreiseanalyse</t>
  </si>
  <si>
    <t>P</t>
  </si>
  <si>
    <t>Maximaler Verkaufspreis Bilanznull</t>
  </si>
  <si>
    <t>calc_maxprice</t>
  </si>
  <si>
    <t>Verkaufspreis Bilanznull mit Vorverkauf</t>
  </si>
  <si>
    <t>calc_price</t>
  </si>
  <si>
    <t>Methanol</t>
  </si>
  <si>
    <t>Ammoniak</t>
  </si>
  <si>
    <t>Kerosin</t>
  </si>
  <si>
    <t>Untere Grenze</t>
  </si>
  <si>
    <t>Obere Grenze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</si>
</sst>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5" xfId="0" applyFont="1" applyBorder="1"/>
    <xf numFmtId="0" fontId="2" fillId="0" borderId="1" xfId="0" applyFont="1" applyBorder="1"/>
    <xf numFmtId="0" fontId="1" fillId="0" borderId="0" xfId="0" applyFont="1"/>
    <xf numFmtId="0" fontId="1" fillId="0" borderId="2" xfId="0" applyFont="1" applyBorder="1"/>
    <xf numFmtId="2" fontId="1" fillId="0" borderId="0" xfId="0" applyNumberFormat="1" applyFont="1"/>
    <xf numFmtId="0" fontId="1" fillId="0" borderId="4" xfId="0" applyFont="1" applyBorder="1"/>
    <xf numFmtId="0" fontId="1" fillId="0" borderId="3" xfId="0" applyFont="1" applyBorder="1"/>
    <xf numFmtId="0" fontId="1" fillId="0" borderId="1" xfId="0" applyFont="1" applyBorder="1"/>
    <xf numFmtId="0" fontId="1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2" borderId="0" xfId="0" applyFont="1" applyFill="1"/>
    <xf numFmtId="0" fontId="3" fillId="3" borderId="0" xfId="0" applyFont="1" applyFill="1"/>
    <xf numFmtId="0" fontId="1" fillId="4" borderId="0" xfId="0" applyFont="1" applyFill="1"/>
    <xf numFmtId="0" fontId="3" fillId="4" borderId="0" xfId="0" applyFont="1" applyFill="1"/>
    <xf numFmtId="2" fontId="0" fillId="2" borderId="0" xfId="0" applyNumberFormat="1" applyFill="1"/>
    <xf numFmtId="2" fontId="0" fillId="3" borderId="0" xfId="0" applyNumberFormat="1" applyFill="1"/>
    <xf numFmtId="2" fontId="0" fillId="4" borderId="0" xfId="0" applyNumberFormat="1" applyFill="1"/>
    <xf numFmtId="2" fontId="1" fillId="2" borderId="0" xfId="0" applyNumberFormat="1" applyFont="1" applyFill="1"/>
    <xf numFmtId="2" fontId="1" fillId="3" borderId="0" xfId="0" applyNumberFormat="1" applyFont="1" applyFill="1"/>
    <xf numFmtId="2" fontId="1" fillId="4" borderId="0" xfId="0" applyNumberFormat="1" applyFont="1" applyFill="1"/>
    <xf numFmtId="2" fontId="3" fillId="2" borderId="0" xfId="0" applyNumberFormat="1" applyFont="1" applyFill="1"/>
    <xf numFmtId="2" fontId="3" fillId="3" borderId="0" xfId="0" applyNumberFormat="1" applyFont="1" applyFill="1"/>
    <xf numFmtId="2" fontId="3" fillId="4" borderId="0" xfId="0" applyNumberFormat="1" applyFont="1" applyFill="1"/>
    <xf numFmtId="2" fontId="2" fillId="2" borderId="0" xfId="0" applyNumberFormat="1" applyFont="1" applyFill="1"/>
    <xf numFmtId="2" fontId="2" fillId="3" borderId="0" xfId="0" applyNumberFormat="1" applyFont="1" applyFill="1"/>
    <xf numFmtId="2" fontId="2" fillId="4" borderId="0" xfId="0" applyNumberFormat="1" applyFont="1" applyFill="1"/>
    <xf numFmtId="2" fontId="0" fillId="0" borderId="0" xfId="0" applyNumberFormat="1"/>
    <xf numFmtId="0" fontId="2" fillId="0" borderId="7" xfId="0" applyFont="1" applyBorder="1" applyAlignment="1">
      <alignment horizontal="center" vertical="top" wrapText="1"/>
    </xf>
    <xf numFmtId="0" fontId="1" fillId="0" borderId="0" xfId="0" applyFont="1"/>
    <xf numFmtId="0" fontId="0" fillId="0" borderId="3" xfId="0" applyBorder="1"/>
    <xf numFmtId="0" fontId="2" fillId="0" borderId="8" xfId="0" applyFont="1" applyBorder="1" applyAlignment="1">
      <alignment horizontal="center" vertical="top"/>
    </xf>
    <xf numFmtId="0" fontId="2" fillId="0" borderId="7" xfId="0" applyFont="1" applyBorder="1" applyAlignment="1">
      <alignment horizontal="center" vertical="top"/>
    </xf>
    <xf numFmtId="0" fontId="2" fillId="0" borderId="6" xfId="0" applyFont="1" applyBorder="1" applyAlignment="1">
      <alignment horizontal="center" vertical="center"/>
    </xf>
    <xf numFmtId="0" fontId="0" fillId="0" borderId="1" xfId="0" applyBorder="1"/>
    <xf numFmtId="0" fontId="2" fillId="0" borderId="0" xfId="0" applyFont="1" applyAlignment="1">
      <alignment horizontal="center" vertical="top"/>
    </xf>
    <xf numFmtId="0" fontId="2" fillId="0" borderId="5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Bandbreite der Gestehungskosten für PtX Produkte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cat>
            <c:strRef>
              <c:f>Grafiken!$A$2:$A$5</c:f>
              <c:strCache>
                <c:ptCount val="4"/>
                <c:pt idx="0">
                  <c:v>Wasserstoff</c:v>
                </c:pt>
                <c:pt idx="1">
                  <c:v>Methanol</c:v>
                </c:pt>
                <c:pt idx="2">
                  <c:v>Ammoniak</c:v>
                </c:pt>
                <c:pt idx="3">
                  <c:v>Kerosin</c:v>
                </c:pt>
              </c:strCache>
            </c:strRef>
          </c:cat>
          <c:val>
            <c:numRef>
              <c:f>Grafiken!$B$2:$B$5</c:f>
              <c:numCache>
                <c:formatCode>0.00</c:formatCode>
                <c:ptCount val="4"/>
                <c:pt idx="0">
                  <c:v>3.0476960000000002</c:v>
                </c:pt>
                <c:pt idx="1">
                  <c:v>0.82820120499999994</c:v>
                </c:pt>
                <c:pt idx="2">
                  <c:v>0.78405718300000005</c:v>
                </c:pt>
                <c:pt idx="3">
                  <c:v>4.4460015970000004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9B-4AFE-A3F6-D8169CEEB2F6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Grafiken!$A$2:$A$5</c:f>
              <c:strCache>
                <c:ptCount val="4"/>
                <c:pt idx="0">
                  <c:v>Wasserstoff</c:v>
                </c:pt>
                <c:pt idx="1">
                  <c:v>Methanol</c:v>
                </c:pt>
                <c:pt idx="2">
                  <c:v>Ammoniak</c:v>
                </c:pt>
                <c:pt idx="3">
                  <c:v>Kerosin</c:v>
                </c:pt>
              </c:strCache>
            </c:strRef>
          </c:cat>
          <c:val>
            <c:numRef>
              <c:f>Grafiken!$C$2:$C$5</c:f>
              <c:numCache>
                <c:formatCode>0.00</c:formatCode>
                <c:ptCount val="4"/>
                <c:pt idx="0">
                  <c:v>5.8082770000000004</c:v>
                </c:pt>
                <c:pt idx="1">
                  <c:v>1.0042496710000002</c:v>
                </c:pt>
                <c:pt idx="2">
                  <c:v>0.7788850759999999</c:v>
                </c:pt>
                <c:pt idx="3">
                  <c:v>6.7487995659999989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9B-4AFE-A3F6-D8169CEEB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3528735"/>
        <c:axId val="523527775"/>
      </c:barChart>
      <c:catAx>
        <c:axId val="52352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3527775"/>
        <c:crosses val="autoZero"/>
        <c:auto val="1"/>
        <c:lblAlgn val="ctr"/>
        <c:lblOffset val="100"/>
        <c:noMultiLvlLbl val="0"/>
      </c:catAx>
      <c:valAx>
        <c:axId val="523527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Gestehungskosten in € / kg Produkt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23528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521969</xdr:colOff>
      <xdr:row>8</xdr:row>
      <xdr:rowOff>93345</xdr:rowOff>
    </xdr:from>
    <xdr:to>
      <xdr:col>8</xdr:col>
      <xdr:colOff>200025</xdr:colOff>
      <xdr:row>31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77E24D0-3D3A-7704-0B54-F09194DF5F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34"/>
  <sheetViews>
    <sheetView tabSelected="1" zoomScaleNormal="100" workbookViewId="0">
      <pane xSplit="6" ySplit="1" topLeftCell="BA193" activePane="bottomRight" state="frozen"/>
      <selection pane="topRight" activeCell="G1" sqref="G1"/>
      <selection pane="bottomLeft" activeCell="A2" sqref="A2"/>
      <selection pane="bottomRight" activeCell="D217" sqref="D217"/>
    </sheetView>
  </sheetViews>
  <sheetFormatPr baseColWidth="10" defaultRowHeight="14.4" x14ac:dyDescent="0.3"/>
  <cols>
    <col min="1" max="1" width="8.109375" style="3" customWidth="1"/>
    <col min="2" max="2" width="17.77734375" style="3" customWidth="1"/>
    <col min="3" max="3" width="10.6640625" style="3" bestFit="1" customWidth="1"/>
    <col min="4" max="4" width="28.88671875" style="3" customWidth="1"/>
    <col min="5" max="5" width="22.33203125" style="3" customWidth="1"/>
    <col min="6" max="6" width="15.21875" style="3" customWidth="1"/>
    <col min="7" max="11" width="28.33203125" style="22" customWidth="1"/>
    <col min="12" max="16" width="28.33203125" style="23" customWidth="1"/>
    <col min="17" max="20" width="28.33203125" style="27" customWidth="1"/>
    <col min="21" max="24" width="28.33203125" style="22" customWidth="1"/>
    <col min="25" max="29" width="28.33203125" style="23" customWidth="1"/>
    <col min="30" max="34" width="28.33203125" style="27" customWidth="1"/>
    <col min="35" max="36" width="28.33203125" style="22" customWidth="1"/>
    <col min="37" max="39" width="28.33203125" style="23" customWidth="1"/>
    <col min="40" max="43" width="28.33203125" style="27" customWidth="1"/>
    <col min="44" max="45" width="28.33203125" style="22" customWidth="1"/>
    <col min="46" max="47" width="28.33203125" style="23" customWidth="1"/>
    <col min="48" max="50" width="28.33203125" style="27" customWidth="1"/>
    <col min="51" max="52" width="28.33203125" style="22" customWidth="1"/>
    <col min="53" max="54" width="28.33203125" style="23" customWidth="1"/>
    <col min="55" max="56" width="28.33203125" style="27" customWidth="1"/>
    <col min="57" max="16384" width="11.5546875" style="3"/>
  </cols>
  <sheetData>
    <row r="1" spans="1:56" s="24" customFormat="1" ht="15" customHeight="1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6" t="s">
        <v>11</v>
      </c>
      <c r="M1" s="26" t="s">
        <v>12</v>
      </c>
      <c r="N1" s="26" t="s">
        <v>13</v>
      </c>
      <c r="O1" s="26" t="s">
        <v>14</v>
      </c>
      <c r="P1" s="26" t="s">
        <v>15</v>
      </c>
      <c r="Q1" s="28" t="s">
        <v>16</v>
      </c>
      <c r="R1" s="28" t="s">
        <v>17</v>
      </c>
      <c r="S1" s="28" t="s">
        <v>18</v>
      </c>
      <c r="T1" s="28" t="s">
        <v>19</v>
      </c>
      <c r="U1" s="25" t="s">
        <v>20</v>
      </c>
      <c r="V1" s="25" t="s">
        <v>21</v>
      </c>
      <c r="W1" s="25" t="s">
        <v>22</v>
      </c>
      <c r="X1" s="25" t="s">
        <v>23</v>
      </c>
      <c r="Y1" s="26" t="s">
        <v>24</v>
      </c>
      <c r="Z1" s="26" t="s">
        <v>25</v>
      </c>
      <c r="AA1" s="26" t="s">
        <v>26</v>
      </c>
      <c r="AB1" s="26" t="s">
        <v>27</v>
      </c>
      <c r="AC1" s="26" t="s">
        <v>28</v>
      </c>
      <c r="AD1" s="28" t="s">
        <v>29</v>
      </c>
      <c r="AE1" s="28" t="s">
        <v>30</v>
      </c>
      <c r="AF1" s="28" t="s">
        <v>31</v>
      </c>
      <c r="AG1" s="28" t="s">
        <v>32</v>
      </c>
      <c r="AH1" s="28" t="s">
        <v>33</v>
      </c>
      <c r="AI1" s="25" t="s">
        <v>34</v>
      </c>
      <c r="AJ1" s="25" t="s">
        <v>35</v>
      </c>
      <c r="AK1" s="26" t="s">
        <v>36</v>
      </c>
      <c r="AL1" s="26" t="s">
        <v>37</v>
      </c>
      <c r="AM1" s="26" t="s">
        <v>38</v>
      </c>
      <c r="AN1" s="28" t="s">
        <v>39</v>
      </c>
      <c r="AO1" s="28" t="s">
        <v>40</v>
      </c>
      <c r="AP1" s="28" t="s">
        <v>41</v>
      </c>
      <c r="AQ1" s="28" t="s">
        <v>42</v>
      </c>
      <c r="AR1" s="25" t="s">
        <v>43</v>
      </c>
      <c r="AS1" s="25" t="s">
        <v>44</v>
      </c>
      <c r="AT1" s="26" t="s">
        <v>45</v>
      </c>
      <c r="AU1" s="26" t="s">
        <v>46</v>
      </c>
      <c r="AV1" s="28" t="s">
        <v>47</v>
      </c>
      <c r="AW1" s="28" t="s">
        <v>48</v>
      </c>
      <c r="AX1" s="28" t="s">
        <v>49</v>
      </c>
      <c r="AY1" s="25" t="s">
        <v>50</v>
      </c>
      <c r="AZ1" s="25" t="s">
        <v>51</v>
      </c>
      <c r="BA1" s="26" t="s">
        <v>52</v>
      </c>
      <c r="BB1" s="26" t="s">
        <v>53</v>
      </c>
      <c r="BC1" s="28" t="s">
        <v>54</v>
      </c>
      <c r="BD1" s="28" t="s">
        <v>55</v>
      </c>
    </row>
    <row r="2" spans="1:56" ht="15" thickBot="1" x14ac:dyDescent="0.35">
      <c r="A2" s="47" t="s">
        <v>56</v>
      </c>
      <c r="B2" s="45" t="s">
        <v>57</v>
      </c>
      <c r="C2" s="10" t="s">
        <v>58</v>
      </c>
      <c r="D2" s="4" t="s">
        <v>59</v>
      </c>
      <c r="E2" s="4" t="s">
        <v>60</v>
      </c>
      <c r="F2" s="4" t="s">
        <v>61</v>
      </c>
      <c r="G2" s="29">
        <v>152.778313</v>
      </c>
      <c r="H2" s="29">
        <v>152.778313</v>
      </c>
      <c r="I2" s="29">
        <v>152.778313</v>
      </c>
      <c r="J2" s="29">
        <v>152.778313</v>
      </c>
      <c r="K2" s="29">
        <v>152.778313</v>
      </c>
      <c r="L2" s="30">
        <v>152.778313</v>
      </c>
      <c r="M2" s="30">
        <v>152.778313</v>
      </c>
      <c r="N2" s="30">
        <v>152.778313</v>
      </c>
      <c r="O2" s="30">
        <v>152.778313</v>
      </c>
      <c r="P2" s="30">
        <v>152.7783</v>
      </c>
      <c r="Q2" s="31">
        <v>152.778313</v>
      </c>
      <c r="R2" s="31">
        <v>152.778313</v>
      </c>
      <c r="S2" s="31">
        <v>152.778313</v>
      </c>
      <c r="T2" s="31">
        <v>152.778313</v>
      </c>
      <c r="U2" s="29">
        <v>152.778313</v>
      </c>
      <c r="V2" s="29">
        <v>152.778313</v>
      </c>
      <c r="W2" s="29">
        <v>152.778313</v>
      </c>
      <c r="X2" s="29">
        <v>152.778313</v>
      </c>
      <c r="Y2" s="30">
        <v>152.778313</v>
      </c>
      <c r="Z2" s="30">
        <v>152.778313</v>
      </c>
      <c r="AA2" s="30">
        <v>152.778313</v>
      </c>
      <c r="AB2" s="30">
        <v>152.778313</v>
      </c>
      <c r="AC2" s="30">
        <v>152.778313</v>
      </c>
      <c r="AD2" s="31">
        <v>152.778313</v>
      </c>
      <c r="AE2" s="31">
        <v>152.778313</v>
      </c>
      <c r="AF2" s="31">
        <v>152.778313</v>
      </c>
      <c r="AG2" s="31">
        <v>152.778313</v>
      </c>
      <c r="AH2" s="31">
        <v>152.778313</v>
      </c>
      <c r="AI2" s="29">
        <v>152.778313</v>
      </c>
      <c r="AJ2" s="29">
        <v>152.778313</v>
      </c>
      <c r="AK2" s="30">
        <v>152.778313</v>
      </c>
      <c r="AL2" s="30">
        <v>152.778313</v>
      </c>
      <c r="AM2" s="30">
        <v>152.778313</v>
      </c>
      <c r="AN2" s="31">
        <v>152.778313</v>
      </c>
      <c r="AO2" s="31">
        <v>152.778313</v>
      </c>
      <c r="AP2" s="31">
        <v>152.778313</v>
      </c>
      <c r="AQ2" s="31">
        <v>152.778313</v>
      </c>
      <c r="AR2" s="29">
        <v>161.98439300000001</v>
      </c>
      <c r="AS2" s="29">
        <v>161.98439300000001</v>
      </c>
      <c r="AT2" s="30">
        <v>161.98439300000001</v>
      </c>
      <c r="AU2" s="30">
        <v>161.98439300000001</v>
      </c>
      <c r="AV2" s="31">
        <v>161.98439300000001</v>
      </c>
      <c r="AW2" s="31">
        <v>161.98439300000001</v>
      </c>
      <c r="AX2" s="31">
        <v>152.778313</v>
      </c>
      <c r="AY2" s="29">
        <v>185.905449</v>
      </c>
      <c r="AZ2" s="29">
        <v>185.905449</v>
      </c>
      <c r="BA2" s="30">
        <v>185.905449</v>
      </c>
      <c r="BB2" s="30">
        <v>185.905449</v>
      </c>
      <c r="BC2" s="31">
        <v>185.905449</v>
      </c>
      <c r="BD2" s="31">
        <v>185.905449</v>
      </c>
    </row>
    <row r="3" spans="1:56" x14ac:dyDescent="0.3">
      <c r="A3" s="43"/>
      <c r="B3" s="43"/>
      <c r="C3" s="10" t="s">
        <v>58</v>
      </c>
      <c r="D3" s="3" t="s">
        <v>62</v>
      </c>
      <c r="E3" s="3" t="s">
        <v>63</v>
      </c>
      <c r="F3" s="3" t="s">
        <v>64</v>
      </c>
      <c r="G3" s="29">
        <v>4201.3433940000004</v>
      </c>
      <c r="H3" s="29">
        <v>3715.9414710000001</v>
      </c>
      <c r="I3" s="29">
        <v>2540.06</v>
      </c>
      <c r="J3" s="29">
        <v>2540.06</v>
      </c>
      <c r="K3" s="29">
        <v>2540.06</v>
      </c>
      <c r="L3" s="30">
        <v>15339.150776</v>
      </c>
      <c r="M3" s="30">
        <v>15678.088942</v>
      </c>
      <c r="N3" s="30">
        <v>15608.466227999999</v>
      </c>
      <c r="O3" s="30">
        <v>8990.1</v>
      </c>
      <c r="P3" s="30">
        <v>8990.1</v>
      </c>
      <c r="Q3" s="31">
        <v>4469.8742759999996</v>
      </c>
      <c r="R3" s="31">
        <v>3919.9544139999998</v>
      </c>
      <c r="S3" s="31">
        <v>3887.2144549999998</v>
      </c>
      <c r="T3" s="31">
        <v>2697.03</v>
      </c>
      <c r="U3" s="29">
        <v>4245.2652399999997</v>
      </c>
      <c r="V3" s="29">
        <v>3862.4227430000001</v>
      </c>
      <c r="W3" s="29">
        <v>2540.06</v>
      </c>
      <c r="X3" s="29">
        <v>2540.06</v>
      </c>
      <c r="Y3" s="30">
        <v>17307.54016</v>
      </c>
      <c r="Z3" s="30">
        <v>16594.758798999999</v>
      </c>
      <c r="AA3" s="30">
        <v>16457.410371000002</v>
      </c>
      <c r="AB3" s="30">
        <v>8992.2673279999999</v>
      </c>
      <c r="AC3" s="30">
        <v>8992.2673279999999</v>
      </c>
      <c r="AD3" s="31">
        <v>4549.6268200000004</v>
      </c>
      <c r="AE3" s="31">
        <v>4109.6091990000004</v>
      </c>
      <c r="AF3" s="31">
        <v>4061.3752709999999</v>
      </c>
      <c r="AG3" s="31">
        <v>2697.03</v>
      </c>
      <c r="AH3" s="31">
        <v>2697.03</v>
      </c>
      <c r="AI3" s="29">
        <v>4255.8083360000001</v>
      </c>
      <c r="AJ3" s="29">
        <v>3781.578966</v>
      </c>
      <c r="AK3" s="30">
        <v>13082.707498</v>
      </c>
      <c r="AL3" s="30">
        <v>16482.357779999998</v>
      </c>
      <c r="AM3" s="30">
        <v>16426.180116</v>
      </c>
      <c r="AN3" s="31">
        <v>4558.5794969999997</v>
      </c>
      <c r="AO3" s="31">
        <v>3993.0892130000002</v>
      </c>
      <c r="AP3" s="31">
        <v>3962.0162019999998</v>
      </c>
      <c r="AQ3" s="31">
        <v>2697.03</v>
      </c>
      <c r="AR3" s="29">
        <v>4025.5228990000001</v>
      </c>
      <c r="AS3" s="29">
        <v>3163.4986479999998</v>
      </c>
      <c r="AT3" s="30">
        <v>21042.991303999999</v>
      </c>
      <c r="AU3" s="30">
        <v>12812.349176</v>
      </c>
      <c r="AV3" s="31">
        <v>4346.3566410000003</v>
      </c>
      <c r="AW3" s="31">
        <v>3351.5878550000002</v>
      </c>
      <c r="AX3" s="31">
        <v>4357.7082250000003</v>
      </c>
      <c r="AY3" s="29">
        <v>3757.8085919999999</v>
      </c>
      <c r="AZ3" s="29">
        <v>2540.06</v>
      </c>
      <c r="BA3" s="30">
        <v>13386.889926</v>
      </c>
      <c r="BB3" s="30">
        <v>8990.1</v>
      </c>
      <c r="BC3" s="31">
        <v>4073.4054719999999</v>
      </c>
      <c r="BD3" s="31">
        <v>2697.03</v>
      </c>
    </row>
    <row r="4" spans="1:56" x14ac:dyDescent="0.3">
      <c r="A4" s="43"/>
      <c r="B4" s="43"/>
      <c r="C4" s="10" t="s">
        <v>58</v>
      </c>
      <c r="D4" s="3" t="s">
        <v>65</v>
      </c>
      <c r="E4" s="3" t="s">
        <v>66</v>
      </c>
      <c r="F4" s="3" t="s">
        <v>67</v>
      </c>
      <c r="G4" s="29">
        <v>27440.703173000002</v>
      </c>
      <c r="H4" s="29">
        <v>24947.13364</v>
      </c>
      <c r="I4" s="29">
        <v>13631.96542</v>
      </c>
      <c r="J4" s="29">
        <v>13631.96542</v>
      </c>
      <c r="K4" s="29">
        <v>13631.96542</v>
      </c>
      <c r="L4" s="30">
        <v>112611.301058</v>
      </c>
      <c r="M4" s="30">
        <v>94242.746153</v>
      </c>
      <c r="N4" s="30">
        <v>93970.739786000006</v>
      </c>
      <c r="O4" s="30">
        <v>42611.422098000003</v>
      </c>
      <c r="P4" s="30">
        <v>42611.422100000003</v>
      </c>
      <c r="Q4" s="31">
        <v>29310.854421</v>
      </c>
      <c r="R4" s="31">
        <v>26497.965749999999</v>
      </c>
      <c r="S4" s="31">
        <v>26392.205043999998</v>
      </c>
      <c r="T4" s="31">
        <v>14480.347849</v>
      </c>
      <c r="U4" s="29">
        <v>28510.862226000001</v>
      </c>
      <c r="V4" s="29">
        <v>25697.034584000001</v>
      </c>
      <c r="W4" s="29">
        <v>14231.790267</v>
      </c>
      <c r="X4" s="29">
        <v>14231.790267</v>
      </c>
      <c r="Y4" s="30">
        <v>129624.46812999999</v>
      </c>
      <c r="Z4" s="30">
        <v>98770.491804999998</v>
      </c>
      <c r="AA4" s="30">
        <v>98344.415779000003</v>
      </c>
      <c r="AB4" s="30">
        <v>45172.275136999997</v>
      </c>
      <c r="AC4" s="30">
        <v>45172.275136999997</v>
      </c>
      <c r="AD4" s="31">
        <v>30554.388402</v>
      </c>
      <c r="AE4" s="31">
        <v>27365.999016000002</v>
      </c>
      <c r="AF4" s="31">
        <v>27215.889081000001</v>
      </c>
      <c r="AG4" s="31">
        <v>15091.548182</v>
      </c>
      <c r="AH4" s="31">
        <v>15091.548182</v>
      </c>
      <c r="AI4" s="29">
        <v>28109.870719999999</v>
      </c>
      <c r="AJ4" s="29">
        <v>24733.060085000001</v>
      </c>
      <c r="AK4" s="30">
        <v>98415.584271</v>
      </c>
      <c r="AL4" s="30">
        <v>95206.301894999997</v>
      </c>
      <c r="AM4" s="30">
        <v>94975.089372999995</v>
      </c>
      <c r="AN4" s="31">
        <v>30106.571205</v>
      </c>
      <c r="AO4" s="31">
        <v>26286.603477000001</v>
      </c>
      <c r="AP4" s="31">
        <v>26183.250754000001</v>
      </c>
      <c r="AQ4" s="31">
        <v>13042.92726</v>
      </c>
      <c r="AR4" s="29">
        <v>30209.887404000001</v>
      </c>
      <c r="AS4" s="29">
        <v>24161.530035</v>
      </c>
      <c r="AT4" s="30">
        <v>167219.75597599999</v>
      </c>
      <c r="AU4" s="30">
        <v>91746.043256999998</v>
      </c>
      <c r="AV4" s="31">
        <v>32504.554251000001</v>
      </c>
      <c r="AW4" s="31">
        <v>25660.162845999999</v>
      </c>
      <c r="AX4" s="31">
        <v>32394.205483000002</v>
      </c>
      <c r="AY4" s="29">
        <v>28515.299576000001</v>
      </c>
      <c r="AZ4" s="29">
        <v>22250.925599999999</v>
      </c>
      <c r="BA4" s="30">
        <v>110032.908169</v>
      </c>
      <c r="BB4" s="30">
        <v>78753.275999999998</v>
      </c>
      <c r="BC4" s="31">
        <v>30766.461693000001</v>
      </c>
      <c r="BD4" s="31">
        <v>23625.982800000002</v>
      </c>
    </row>
    <row r="5" spans="1:56" x14ac:dyDescent="0.3">
      <c r="A5" s="43"/>
      <c r="B5" s="43"/>
      <c r="C5" s="10" t="s">
        <v>58</v>
      </c>
      <c r="D5" s="3" t="s">
        <v>68</v>
      </c>
      <c r="E5" s="3" t="s">
        <v>69</v>
      </c>
      <c r="F5" s="3" t="s">
        <v>70</v>
      </c>
      <c r="G5" s="29">
        <v>548814.063463</v>
      </c>
      <c r="H5" s="29">
        <v>498942.67280900001</v>
      </c>
      <c r="I5" s="29">
        <v>272639.308395</v>
      </c>
      <c r="J5" s="29">
        <v>272639.308395</v>
      </c>
      <c r="K5" s="29">
        <v>272639.308395</v>
      </c>
      <c r="L5" s="30">
        <v>2252226.0211570002</v>
      </c>
      <c r="M5" s="30">
        <v>1884854.9230520001</v>
      </c>
      <c r="N5" s="30">
        <v>1879414.7957210001</v>
      </c>
      <c r="O5" s="30">
        <v>852228.44196500001</v>
      </c>
      <c r="P5" s="30">
        <v>852228.44200000004</v>
      </c>
      <c r="Q5" s="31">
        <v>586217.08842699998</v>
      </c>
      <c r="R5" s="31">
        <v>529959.31498999998</v>
      </c>
      <c r="S5" s="31">
        <v>527844.10087800003</v>
      </c>
      <c r="T5" s="31">
        <v>289606.95697300002</v>
      </c>
      <c r="U5" s="29">
        <v>570217.24452900002</v>
      </c>
      <c r="V5" s="29">
        <v>513940.691689</v>
      </c>
      <c r="W5" s="29">
        <v>284635.80534600001</v>
      </c>
      <c r="X5" s="29">
        <v>284635.80534600001</v>
      </c>
      <c r="Y5" s="30">
        <v>2592489.362592</v>
      </c>
      <c r="Z5" s="30">
        <v>1975409.8360969999</v>
      </c>
      <c r="AA5" s="30">
        <v>1966888.3155789999</v>
      </c>
      <c r="AB5" s="30">
        <v>903445.50274000003</v>
      </c>
      <c r="AC5" s="30">
        <v>903445.50274000003</v>
      </c>
      <c r="AD5" s="31">
        <v>611087.768041</v>
      </c>
      <c r="AE5" s="31">
        <v>547319.98031500005</v>
      </c>
      <c r="AF5" s="31">
        <v>544317.78161900002</v>
      </c>
      <c r="AG5" s="31">
        <v>301830.963636</v>
      </c>
      <c r="AH5" s="31">
        <v>301830.963636</v>
      </c>
      <c r="AI5" s="29">
        <v>562197.41439699999</v>
      </c>
      <c r="AJ5" s="29">
        <v>494661.201703</v>
      </c>
      <c r="AK5" s="30">
        <v>1968311.685423</v>
      </c>
      <c r="AL5" s="30">
        <v>1904126.0378990001</v>
      </c>
      <c r="AM5" s="30">
        <v>1899501.787458</v>
      </c>
      <c r="AN5" s="31">
        <v>602131.42409600003</v>
      </c>
      <c r="AO5" s="31">
        <v>525732.06954000005</v>
      </c>
      <c r="AP5" s="31">
        <v>523665.015075</v>
      </c>
      <c r="AQ5" s="31">
        <v>260858.54519999999</v>
      </c>
      <c r="AR5" s="29">
        <v>604197.748089</v>
      </c>
      <c r="AS5" s="29">
        <v>483230.60070399998</v>
      </c>
      <c r="AT5" s="30">
        <v>3344395.1195220002</v>
      </c>
      <c r="AU5" s="30">
        <v>1834920.8651409999</v>
      </c>
      <c r="AV5" s="31">
        <v>650091.08502200001</v>
      </c>
      <c r="AW5" s="31">
        <v>513203.25691900001</v>
      </c>
      <c r="AX5" s="31">
        <v>647884.10966199997</v>
      </c>
      <c r="AY5" s="29">
        <v>570305.99153</v>
      </c>
      <c r="AZ5" s="29">
        <v>445018.51199999999</v>
      </c>
      <c r="BA5" s="30">
        <v>2200658.163377</v>
      </c>
      <c r="BB5" s="30">
        <v>1575065.52</v>
      </c>
      <c r="BC5" s="31">
        <v>615329.23386399995</v>
      </c>
      <c r="BD5" s="31">
        <v>472519.65600000002</v>
      </c>
    </row>
    <row r="6" spans="1:56" x14ac:dyDescent="0.3">
      <c r="A6" s="43"/>
      <c r="B6" s="43"/>
      <c r="C6" s="10" t="s">
        <v>58</v>
      </c>
      <c r="D6" s="3" t="s">
        <v>71</v>
      </c>
      <c r="E6" s="3" t="s">
        <v>72</v>
      </c>
      <c r="F6" s="3" t="s">
        <v>73</v>
      </c>
      <c r="G6" s="29">
        <v>6302015.0917100003</v>
      </c>
      <c r="H6" s="29">
        <v>5573912.2067210004</v>
      </c>
      <c r="I6" s="29">
        <v>3810090</v>
      </c>
      <c r="J6" s="29">
        <v>3810090</v>
      </c>
      <c r="K6" s="29">
        <v>3810090</v>
      </c>
      <c r="L6" s="30">
        <v>23008726.163577002</v>
      </c>
      <c r="M6" s="30">
        <v>23517133.413447</v>
      </c>
      <c r="N6" s="30">
        <v>23412699.341936</v>
      </c>
      <c r="O6" s="30">
        <v>13485150</v>
      </c>
      <c r="P6" s="30">
        <v>13485150</v>
      </c>
      <c r="Q6" s="31">
        <v>6704811.4133679997</v>
      </c>
      <c r="R6" s="31">
        <v>5879931.6204500003</v>
      </c>
      <c r="S6" s="31">
        <v>5830821.6827090001</v>
      </c>
      <c r="T6" s="31">
        <v>4045545</v>
      </c>
      <c r="U6" s="29">
        <v>6367897.859615</v>
      </c>
      <c r="V6" s="29">
        <v>5793634.1151620001</v>
      </c>
      <c r="W6" s="29">
        <v>3810090</v>
      </c>
      <c r="X6" s="29">
        <v>3810090</v>
      </c>
      <c r="Y6" s="30">
        <v>25961310.23931</v>
      </c>
      <c r="Z6" s="30">
        <v>24892138.198777001</v>
      </c>
      <c r="AA6" s="30">
        <v>24686115.556710999</v>
      </c>
      <c r="AB6" s="30">
        <v>13488400.991811</v>
      </c>
      <c r="AC6" s="30">
        <v>13488400.991811</v>
      </c>
      <c r="AD6" s="31">
        <v>6824440.2302209996</v>
      </c>
      <c r="AE6" s="31">
        <v>6164413.7984079998</v>
      </c>
      <c r="AF6" s="31">
        <v>6092062.9069619998</v>
      </c>
      <c r="AG6" s="31">
        <v>4045545</v>
      </c>
      <c r="AH6" s="31">
        <v>4045545</v>
      </c>
      <c r="AI6" s="29">
        <v>6383712.504458</v>
      </c>
      <c r="AJ6" s="29">
        <v>5672368.4489489999</v>
      </c>
      <c r="AK6" s="30">
        <v>19624061.246359002</v>
      </c>
      <c r="AL6" s="30">
        <v>24723536.669484999</v>
      </c>
      <c r="AM6" s="30">
        <v>24639270.174532998</v>
      </c>
      <c r="AN6" s="31">
        <v>6837869.2455850001</v>
      </c>
      <c r="AO6" s="31">
        <v>5989633.819894</v>
      </c>
      <c r="AP6" s="31">
        <v>5943024.302592</v>
      </c>
      <c r="AQ6" s="31">
        <v>4045545</v>
      </c>
      <c r="AR6" s="29">
        <v>6038284.3488619998</v>
      </c>
      <c r="AS6" s="29">
        <v>4745247.9717009999</v>
      </c>
      <c r="AT6" s="30">
        <v>31564486.956099998</v>
      </c>
      <c r="AU6" s="30">
        <v>19218523.764665999</v>
      </c>
      <c r="AV6" s="31">
        <v>6519534.9614949999</v>
      </c>
      <c r="AW6" s="31">
        <v>5027381.7829790004</v>
      </c>
      <c r="AX6" s="31">
        <v>6536562.3368330002</v>
      </c>
      <c r="AY6" s="29">
        <v>5636712.8883100003</v>
      </c>
      <c r="AZ6" s="29">
        <v>3810090</v>
      </c>
      <c r="BA6" s="30">
        <v>20080334.889442999</v>
      </c>
      <c r="BB6" s="30">
        <v>13485150</v>
      </c>
      <c r="BC6" s="31">
        <v>6110108.2086199997</v>
      </c>
      <c r="BD6" s="31">
        <v>4045545</v>
      </c>
    </row>
    <row r="7" spans="1:56" x14ac:dyDescent="0.3">
      <c r="A7" s="43"/>
      <c r="B7" s="43"/>
      <c r="C7" s="10" t="s">
        <v>58</v>
      </c>
      <c r="D7" s="3" t="s">
        <v>74</v>
      </c>
      <c r="E7" s="3" t="s">
        <v>75</v>
      </c>
      <c r="F7" s="3" t="s">
        <v>76</v>
      </c>
      <c r="G7" s="29">
        <v>189060.452751</v>
      </c>
      <c r="H7" s="29">
        <v>167217.366202</v>
      </c>
      <c r="I7" s="29">
        <v>114302.7</v>
      </c>
      <c r="J7" s="29">
        <v>114302.7</v>
      </c>
      <c r="K7" s="29">
        <v>114302.7</v>
      </c>
      <c r="L7" s="30">
        <v>690261.78490700002</v>
      </c>
      <c r="M7" s="30">
        <v>705514.00240300002</v>
      </c>
      <c r="N7" s="30">
        <v>702380.98025799997</v>
      </c>
      <c r="O7" s="30">
        <v>404554.5</v>
      </c>
      <c r="P7" s="30">
        <v>404554.5</v>
      </c>
      <c r="Q7" s="31">
        <v>201144.342401</v>
      </c>
      <c r="R7" s="31">
        <v>176397.94861299999</v>
      </c>
      <c r="S7" s="31">
        <v>174924.65048099999</v>
      </c>
      <c r="T7" s="31">
        <v>121366.35</v>
      </c>
      <c r="U7" s="29">
        <v>191036.935788</v>
      </c>
      <c r="V7" s="29">
        <v>173809.02345499999</v>
      </c>
      <c r="W7" s="29">
        <v>114302.7</v>
      </c>
      <c r="X7" s="29">
        <v>114302.7</v>
      </c>
      <c r="Y7" s="30">
        <v>778839.307179</v>
      </c>
      <c r="Z7" s="30">
        <v>746764.14596300002</v>
      </c>
      <c r="AA7" s="30">
        <v>740583.466701</v>
      </c>
      <c r="AB7" s="30">
        <v>404652.02975400002</v>
      </c>
      <c r="AC7" s="30">
        <v>404652.02975400002</v>
      </c>
      <c r="AD7" s="31">
        <v>204733.20690700001</v>
      </c>
      <c r="AE7" s="31">
        <v>184932.413952</v>
      </c>
      <c r="AF7" s="31">
        <v>182761.88720900001</v>
      </c>
      <c r="AG7" s="31">
        <v>121366.35</v>
      </c>
      <c r="AH7" s="31">
        <v>121366.35</v>
      </c>
      <c r="AI7" s="29">
        <v>191511.375134</v>
      </c>
      <c r="AJ7" s="29">
        <v>170171.053468</v>
      </c>
      <c r="AK7" s="30">
        <v>588721.83739100001</v>
      </c>
      <c r="AL7" s="30">
        <v>741706.10008500004</v>
      </c>
      <c r="AM7" s="30">
        <v>739178.10523600003</v>
      </c>
      <c r="AN7" s="31">
        <v>205136.077368</v>
      </c>
      <c r="AO7" s="31">
        <v>179689.014597</v>
      </c>
      <c r="AP7" s="31">
        <v>178290.729078</v>
      </c>
      <c r="AQ7" s="31">
        <v>121366.35</v>
      </c>
      <c r="AR7" s="29">
        <v>181148.530466</v>
      </c>
      <c r="AS7" s="29">
        <v>142357.439151</v>
      </c>
      <c r="AT7" s="30">
        <v>946934.60868299997</v>
      </c>
      <c r="AU7" s="30">
        <v>576555.71294</v>
      </c>
      <c r="AV7" s="31">
        <v>195586.04884500001</v>
      </c>
      <c r="AW7" s="31">
        <v>150821.45348900001</v>
      </c>
      <c r="AX7" s="31">
        <v>196096.87010500001</v>
      </c>
      <c r="AY7" s="29">
        <v>169101.38664899999</v>
      </c>
      <c r="AZ7" s="29">
        <v>114302.7</v>
      </c>
      <c r="BA7" s="30">
        <v>602410.04668300005</v>
      </c>
      <c r="BB7" s="30">
        <v>404554.5</v>
      </c>
      <c r="BC7" s="31">
        <v>183303.24625900001</v>
      </c>
      <c r="BD7" s="31">
        <v>121366.35</v>
      </c>
    </row>
    <row r="8" spans="1:56" x14ac:dyDescent="0.3">
      <c r="A8" s="43"/>
      <c r="B8" s="43"/>
      <c r="C8" s="10" t="s">
        <v>58</v>
      </c>
      <c r="D8" s="3" t="s">
        <v>77</v>
      </c>
      <c r="E8" s="3" t="s">
        <v>78</v>
      </c>
      <c r="F8" s="3" t="s">
        <v>76</v>
      </c>
      <c r="G8" s="29">
        <v>641874.15712700004</v>
      </c>
      <c r="H8" s="29">
        <v>567715.27004099998</v>
      </c>
      <c r="I8" s="29">
        <v>388066.08231500001</v>
      </c>
      <c r="J8" s="29">
        <v>388066.08231500001</v>
      </c>
      <c r="K8" s="29">
        <v>388066.08231500001</v>
      </c>
      <c r="L8" s="30">
        <v>2343489.5819669999</v>
      </c>
      <c r="M8" s="30">
        <v>2395271.9833479999</v>
      </c>
      <c r="N8" s="30">
        <v>2384635.1424890002</v>
      </c>
      <c r="O8" s="30">
        <v>1373492.313812</v>
      </c>
      <c r="P8" s="30">
        <v>1373492.3137999999</v>
      </c>
      <c r="Q8" s="31">
        <v>682899.85219400004</v>
      </c>
      <c r="R8" s="31">
        <v>598884.02327200002</v>
      </c>
      <c r="S8" s="31">
        <v>593882.06763800001</v>
      </c>
      <c r="T8" s="31">
        <v>412047.694143</v>
      </c>
      <c r="U8" s="29">
        <v>648584.46256200003</v>
      </c>
      <c r="V8" s="29">
        <v>590094.43174200004</v>
      </c>
      <c r="W8" s="29">
        <v>388066.08231500001</v>
      </c>
      <c r="X8" s="29">
        <v>388066.08231500001</v>
      </c>
      <c r="Y8" s="30">
        <v>2644216.7918170001</v>
      </c>
      <c r="Z8" s="30">
        <v>2535319.2578770001</v>
      </c>
      <c r="AA8" s="30">
        <v>2514335.3967149998</v>
      </c>
      <c r="AB8" s="30">
        <v>1373823.434508</v>
      </c>
      <c r="AC8" s="30">
        <v>1373823.434508</v>
      </c>
      <c r="AD8" s="31">
        <v>695084.31143</v>
      </c>
      <c r="AE8" s="31">
        <v>627859.16146800003</v>
      </c>
      <c r="AF8" s="31">
        <v>620490.06336399994</v>
      </c>
      <c r="AG8" s="31">
        <v>412047.694143</v>
      </c>
      <c r="AH8" s="31">
        <v>412047.694143</v>
      </c>
      <c r="AI8" s="29">
        <v>650195.219071</v>
      </c>
      <c r="AJ8" s="29">
        <v>577743.25578400004</v>
      </c>
      <c r="AK8" s="30">
        <v>1998753.9840220001</v>
      </c>
      <c r="AL8" s="30">
        <v>2518146.8197070002</v>
      </c>
      <c r="AM8" s="30">
        <v>2509564.0910669998</v>
      </c>
      <c r="AN8" s="31">
        <v>696452.08630700002</v>
      </c>
      <c r="AO8" s="31">
        <v>610057.43459800002</v>
      </c>
      <c r="AP8" s="31">
        <v>605310.15230900003</v>
      </c>
      <c r="AQ8" s="31">
        <v>412047.694143</v>
      </c>
      <c r="AR8" s="29">
        <v>652071.88474100002</v>
      </c>
      <c r="AS8" s="29">
        <v>512437.40931999998</v>
      </c>
      <c r="AT8" s="30">
        <v>3408636.1806100002</v>
      </c>
      <c r="AU8" s="30">
        <v>2075400.608705</v>
      </c>
      <c r="AV8" s="31">
        <v>704041.94376499997</v>
      </c>
      <c r="AW8" s="31">
        <v>542904.92549499997</v>
      </c>
      <c r="AX8" s="31">
        <v>665763.31211699999</v>
      </c>
      <c r="AY8" s="29">
        <v>698597.09510300006</v>
      </c>
      <c r="AZ8" s="29">
        <v>472210.99580899999</v>
      </c>
      <c r="BA8" s="30">
        <v>2488695.7878490002</v>
      </c>
      <c r="BB8" s="30">
        <v>1671308.5806730001</v>
      </c>
      <c r="BC8" s="31">
        <v>757268.27494699997</v>
      </c>
      <c r="BD8" s="31">
        <v>501392.57420199999</v>
      </c>
    </row>
    <row r="9" spans="1:56" x14ac:dyDescent="0.3">
      <c r="A9" s="43"/>
      <c r="B9" s="43"/>
      <c r="C9" s="10" t="s">
        <v>58</v>
      </c>
      <c r="D9" s="3" t="s">
        <v>79</v>
      </c>
      <c r="E9" s="3" t="s">
        <v>80</v>
      </c>
      <c r="F9" s="3" t="s">
        <v>73</v>
      </c>
      <c r="G9" s="29">
        <v>12837483.142549001</v>
      </c>
      <c r="H9" s="29">
        <v>11354305.400816999</v>
      </c>
      <c r="I9" s="29">
        <v>7761321.6463000001</v>
      </c>
      <c r="J9" s="29">
        <v>7761321.6463000001</v>
      </c>
      <c r="K9" s="29">
        <v>7761321.6463000001</v>
      </c>
      <c r="L9" s="30">
        <v>46869791.639346004</v>
      </c>
      <c r="M9" s="30">
        <v>47905439.666965</v>
      </c>
      <c r="N9" s="30">
        <v>47692702.849770002</v>
      </c>
      <c r="O9" s="30">
        <v>27469846.27623</v>
      </c>
      <c r="P9" s="30">
        <v>27469846.2762</v>
      </c>
      <c r="Q9" s="31">
        <v>13657997.043883</v>
      </c>
      <c r="R9" s="31">
        <v>11977680.465438001</v>
      </c>
      <c r="S9" s="31">
        <v>11877641.352755999</v>
      </c>
      <c r="T9" s="31">
        <v>8240953.8828689996</v>
      </c>
      <c r="U9" s="29">
        <v>12971689.251239</v>
      </c>
      <c r="V9" s="29">
        <v>11801888.634848</v>
      </c>
      <c r="W9" s="29">
        <v>7761321.6463000001</v>
      </c>
      <c r="X9" s="29">
        <v>7761321.6463000001</v>
      </c>
      <c r="Y9" s="30">
        <v>52884335.836335003</v>
      </c>
      <c r="Z9" s="30">
        <v>50706385.157531999</v>
      </c>
      <c r="AA9" s="30">
        <v>50286707.934292004</v>
      </c>
      <c r="AB9" s="30">
        <v>27476468.690166</v>
      </c>
      <c r="AC9" s="30">
        <v>27476468.690166</v>
      </c>
      <c r="AD9" s="31">
        <v>13901686.228592999</v>
      </c>
      <c r="AE9" s="31">
        <v>12557183.229356</v>
      </c>
      <c r="AF9" s="31">
        <v>12409801.267273</v>
      </c>
      <c r="AG9" s="31">
        <v>8240953.8828689996</v>
      </c>
      <c r="AH9" s="31">
        <v>8240953.8828689996</v>
      </c>
      <c r="AI9" s="29">
        <v>13003904.381421</v>
      </c>
      <c r="AJ9" s="29">
        <v>11554865.115683001</v>
      </c>
      <c r="AK9" s="30">
        <v>39975079.680448003</v>
      </c>
      <c r="AL9" s="30">
        <v>50362936.394143999</v>
      </c>
      <c r="AM9" s="30">
        <v>50191281.821331002</v>
      </c>
      <c r="AN9" s="31">
        <v>13929041.726135001</v>
      </c>
      <c r="AO9" s="31">
        <v>12201148.69196</v>
      </c>
      <c r="AP9" s="31">
        <v>12106203.046172</v>
      </c>
      <c r="AQ9" s="31">
        <v>8240953.8828689996</v>
      </c>
      <c r="AR9" s="29">
        <v>13041437.694817999</v>
      </c>
      <c r="AS9" s="29">
        <v>10248748.186406</v>
      </c>
      <c r="AT9" s="30">
        <v>68172723.612206995</v>
      </c>
      <c r="AU9" s="30">
        <v>41508012.174105003</v>
      </c>
      <c r="AV9" s="31">
        <v>14080838.875293</v>
      </c>
      <c r="AW9" s="31">
        <v>10858098.509909</v>
      </c>
      <c r="AX9" s="31">
        <v>13315266.242332</v>
      </c>
      <c r="AY9" s="29">
        <v>13971941.902052</v>
      </c>
      <c r="AZ9" s="29">
        <v>9444219.9161840007</v>
      </c>
      <c r="BA9" s="30">
        <v>49773915.756984003</v>
      </c>
      <c r="BB9" s="30">
        <v>33426171.613460999</v>
      </c>
      <c r="BC9" s="31">
        <v>15145365.498948</v>
      </c>
      <c r="BD9" s="31">
        <v>10027851.484038001</v>
      </c>
    </row>
    <row r="10" spans="1:56" x14ac:dyDescent="0.3">
      <c r="A10" s="43"/>
      <c r="B10" s="43"/>
      <c r="C10" s="10" t="s">
        <v>58</v>
      </c>
      <c r="D10" s="3" t="s">
        <v>81</v>
      </c>
      <c r="E10" s="3" t="s">
        <v>82</v>
      </c>
      <c r="F10" s="3" t="s">
        <v>76</v>
      </c>
      <c r="G10" s="29">
        <v>830934.609879</v>
      </c>
      <c r="H10" s="29">
        <v>734932.63624300004</v>
      </c>
      <c r="I10" s="29">
        <v>502368.78231500002</v>
      </c>
      <c r="J10" s="29">
        <v>502368.78231500002</v>
      </c>
      <c r="K10" s="29">
        <v>502368.78231500002</v>
      </c>
      <c r="L10" s="30">
        <v>3033751.3668749998</v>
      </c>
      <c r="M10" s="30">
        <v>3100785.985752</v>
      </c>
      <c r="N10" s="30">
        <v>3087016.1227469998</v>
      </c>
      <c r="O10" s="30">
        <v>1778046.813812</v>
      </c>
      <c r="P10" s="30">
        <v>1778046.8137999999</v>
      </c>
      <c r="Q10" s="31">
        <v>884044.19459500001</v>
      </c>
      <c r="R10" s="31">
        <v>775281.97188500001</v>
      </c>
      <c r="S10" s="31">
        <v>768806.71811899997</v>
      </c>
      <c r="T10" s="31">
        <v>533414.04414300004</v>
      </c>
      <c r="U10" s="29">
        <v>839621.39835000003</v>
      </c>
      <c r="V10" s="29">
        <v>763903.45519699994</v>
      </c>
      <c r="W10" s="29">
        <v>502368.78231500002</v>
      </c>
      <c r="X10" s="29">
        <v>502368.78231500002</v>
      </c>
      <c r="Y10" s="30">
        <v>3423056.0989959999</v>
      </c>
      <c r="Z10" s="30">
        <v>3282083.4038399998</v>
      </c>
      <c r="AA10" s="30">
        <v>3254918.8634159998</v>
      </c>
      <c r="AB10" s="30">
        <v>1778475.4642630001</v>
      </c>
      <c r="AC10" s="30">
        <v>1778475.4642630001</v>
      </c>
      <c r="AD10" s="31">
        <v>899817.51833600004</v>
      </c>
      <c r="AE10" s="31">
        <v>812791.57542000001</v>
      </c>
      <c r="AF10" s="31">
        <v>803251.95057300001</v>
      </c>
      <c r="AG10" s="31">
        <v>533414.04414300004</v>
      </c>
      <c r="AH10" s="31">
        <v>533414.04414300004</v>
      </c>
      <c r="AI10" s="29">
        <v>841706.59420499997</v>
      </c>
      <c r="AJ10" s="29">
        <v>747914.30925299996</v>
      </c>
      <c r="AK10" s="30">
        <v>2587475.8214130001</v>
      </c>
      <c r="AL10" s="30">
        <v>3259852.9197920002</v>
      </c>
      <c r="AM10" s="30">
        <v>3248742.1963030002</v>
      </c>
      <c r="AN10" s="31">
        <v>901588.16367399995</v>
      </c>
      <c r="AO10" s="31">
        <v>789746.44919499999</v>
      </c>
      <c r="AP10" s="31">
        <v>783600.88138599996</v>
      </c>
      <c r="AQ10" s="31">
        <v>533414.04414300004</v>
      </c>
      <c r="AR10" s="29">
        <v>833220.41520699998</v>
      </c>
      <c r="AS10" s="29">
        <v>654794.84847099998</v>
      </c>
      <c r="AT10" s="30">
        <v>4355570.7892929995</v>
      </c>
      <c r="AU10" s="30">
        <v>2651956.321645</v>
      </c>
      <c r="AV10" s="31">
        <v>899627.99260999996</v>
      </c>
      <c r="AW10" s="31">
        <v>693726.37898499996</v>
      </c>
      <c r="AX10" s="31">
        <v>861860.18222199997</v>
      </c>
      <c r="AY10" s="29">
        <v>867698.48175200005</v>
      </c>
      <c r="AZ10" s="29">
        <v>586513.69580900006</v>
      </c>
      <c r="BA10" s="30">
        <v>3091105.8345320001</v>
      </c>
      <c r="BB10" s="30">
        <v>2075863.0806730001</v>
      </c>
      <c r="BC10" s="31">
        <v>940571.521206</v>
      </c>
      <c r="BD10" s="31">
        <v>622758.92420200002</v>
      </c>
    </row>
    <row r="11" spans="1:56" x14ac:dyDescent="0.3">
      <c r="A11" s="43"/>
      <c r="B11" s="44"/>
      <c r="C11" s="10"/>
      <c r="G11" s="32"/>
      <c r="H11" s="32"/>
      <c r="I11" s="32"/>
      <c r="J11" s="32"/>
      <c r="K11" s="32"/>
      <c r="L11" s="33"/>
      <c r="M11" s="33"/>
      <c r="N11" s="33"/>
      <c r="O11" s="33"/>
      <c r="P11" s="33"/>
      <c r="Q11" s="34"/>
      <c r="R11" s="34"/>
      <c r="S11" s="34"/>
      <c r="T11" s="34"/>
      <c r="U11" s="32"/>
      <c r="V11" s="32"/>
      <c r="W11" s="32"/>
      <c r="X11" s="32"/>
      <c r="Y11" s="33"/>
      <c r="Z11" s="33"/>
      <c r="AA11" s="33"/>
      <c r="AB11" s="33"/>
      <c r="AC11" s="33"/>
      <c r="AD11" s="34"/>
      <c r="AE11" s="34"/>
      <c r="AF11" s="34"/>
      <c r="AG11" s="34"/>
      <c r="AH11" s="34"/>
      <c r="AI11" s="32"/>
      <c r="AJ11" s="32"/>
      <c r="AK11" s="33"/>
      <c r="AL11" s="33"/>
      <c r="AM11" s="33"/>
      <c r="AN11" s="34"/>
      <c r="AO11" s="34"/>
      <c r="AP11" s="34"/>
      <c r="AQ11" s="34"/>
      <c r="AR11" s="32"/>
      <c r="AS11" s="32"/>
      <c r="AT11" s="33"/>
      <c r="AU11" s="33"/>
      <c r="AV11" s="34"/>
      <c r="AW11" s="34"/>
      <c r="AX11" s="34"/>
      <c r="AY11" s="32"/>
      <c r="AZ11" s="32"/>
      <c r="BA11" s="33"/>
      <c r="BB11" s="33"/>
      <c r="BC11" s="34"/>
      <c r="BD11" s="34"/>
    </row>
    <row r="12" spans="1:56" x14ac:dyDescent="0.3">
      <c r="A12" s="43"/>
      <c r="B12" s="46" t="s">
        <v>83</v>
      </c>
      <c r="C12" s="11" t="s">
        <v>84</v>
      </c>
      <c r="D12" s="6" t="s">
        <v>59</v>
      </c>
      <c r="E12" s="6" t="s">
        <v>85</v>
      </c>
      <c r="F12" s="6" t="s">
        <v>86</v>
      </c>
      <c r="G12" s="32"/>
      <c r="H12" s="32"/>
      <c r="I12" s="32"/>
      <c r="J12" s="32"/>
      <c r="K12" s="32"/>
      <c r="L12" s="33"/>
      <c r="M12" s="33"/>
      <c r="N12" s="33"/>
      <c r="O12" s="33"/>
      <c r="P12" s="33"/>
      <c r="Q12" s="31">
        <v>478.69856099999998</v>
      </c>
      <c r="R12" s="31">
        <v>478.69856099999998</v>
      </c>
      <c r="S12" s="31">
        <v>478.69856099999998</v>
      </c>
      <c r="T12" s="31">
        <v>478.69856099999998</v>
      </c>
      <c r="U12" s="32"/>
      <c r="V12" s="32"/>
      <c r="W12" s="32"/>
      <c r="X12" s="32"/>
      <c r="Y12" s="33"/>
      <c r="Z12" s="33"/>
      <c r="AA12" s="33"/>
      <c r="AB12" s="33"/>
      <c r="AC12" s="33"/>
      <c r="AD12" s="31">
        <v>478.69856099999998</v>
      </c>
      <c r="AE12" s="31">
        <v>478.69856099999998</v>
      </c>
      <c r="AF12" s="31">
        <v>478.69856099999998</v>
      </c>
      <c r="AG12" s="31">
        <v>478.69856099999998</v>
      </c>
      <c r="AH12" s="31">
        <v>0</v>
      </c>
      <c r="AI12" s="32"/>
      <c r="AJ12" s="32"/>
      <c r="AK12" s="33"/>
      <c r="AL12" s="33"/>
      <c r="AM12" s="33"/>
      <c r="AN12" s="31">
        <v>478.69856099999998</v>
      </c>
      <c r="AO12" s="31">
        <v>478.69856099999998</v>
      </c>
      <c r="AP12" s="31">
        <v>478.69856099999998</v>
      </c>
      <c r="AQ12" s="31">
        <v>478.69856099999998</v>
      </c>
      <c r="AR12" s="32"/>
      <c r="AS12" s="32"/>
      <c r="AT12" s="33"/>
      <c r="AU12" s="33"/>
      <c r="AV12" s="31">
        <v>511.823847</v>
      </c>
      <c r="AW12" s="31">
        <v>511.823847</v>
      </c>
      <c r="AX12" s="31">
        <v>0</v>
      </c>
      <c r="AY12" s="32"/>
      <c r="AZ12" s="32"/>
      <c r="BA12" s="33"/>
      <c r="BB12" s="33"/>
      <c r="BC12" s="31">
        <v>597.92157999999995</v>
      </c>
      <c r="BD12" s="31">
        <v>597.92157999999995</v>
      </c>
    </row>
    <row r="13" spans="1:56" x14ac:dyDescent="0.3">
      <c r="A13" s="43"/>
      <c r="B13" s="43"/>
      <c r="C13" s="10" t="s">
        <v>84</v>
      </c>
      <c r="D13" s="3" t="s">
        <v>87</v>
      </c>
      <c r="E13" s="3" t="s">
        <v>88</v>
      </c>
      <c r="F13" s="3" t="s">
        <v>89</v>
      </c>
      <c r="G13" s="32"/>
      <c r="H13" s="32"/>
      <c r="I13" s="32"/>
      <c r="J13" s="32"/>
      <c r="K13" s="32"/>
      <c r="L13" s="33"/>
      <c r="M13" s="33"/>
      <c r="N13" s="33"/>
      <c r="O13" s="33"/>
      <c r="P13" s="33"/>
      <c r="Q13" s="31">
        <v>2500104</v>
      </c>
      <c r="R13" s="31">
        <v>2500104</v>
      </c>
      <c r="S13" s="31">
        <v>2500104</v>
      </c>
      <c r="T13" s="31">
        <v>2500104</v>
      </c>
      <c r="U13" s="32"/>
      <c r="V13" s="32"/>
      <c r="W13" s="32"/>
      <c r="X13" s="32"/>
      <c r="Y13" s="33"/>
      <c r="Z13" s="33"/>
      <c r="AA13" s="33"/>
      <c r="AB13" s="33"/>
      <c r="AC13" s="33"/>
      <c r="AD13" s="31">
        <v>2500104</v>
      </c>
      <c r="AE13" s="31">
        <v>2500104</v>
      </c>
      <c r="AF13" s="31">
        <v>2500104</v>
      </c>
      <c r="AG13" s="31">
        <v>2500104</v>
      </c>
      <c r="AH13" s="31">
        <v>2500104</v>
      </c>
      <c r="AI13" s="32"/>
      <c r="AJ13" s="32"/>
      <c r="AK13" s="33"/>
      <c r="AL13" s="33"/>
      <c r="AM13" s="33"/>
      <c r="AN13" s="31">
        <v>2500104</v>
      </c>
      <c r="AO13" s="31">
        <v>2500104</v>
      </c>
      <c r="AP13" s="31">
        <v>2500104</v>
      </c>
      <c r="AQ13" s="31">
        <v>2500104</v>
      </c>
      <c r="AR13" s="32"/>
      <c r="AS13" s="32"/>
      <c r="AT13" s="33"/>
      <c r="AU13" s="33"/>
      <c r="AV13" s="31">
        <v>2500104</v>
      </c>
      <c r="AW13" s="31">
        <v>2500104</v>
      </c>
      <c r="AX13" s="31">
        <v>2500104</v>
      </c>
      <c r="AY13" s="32"/>
      <c r="AZ13" s="32"/>
      <c r="BA13" s="33"/>
      <c r="BB13" s="33"/>
      <c r="BC13" s="31">
        <v>2500104</v>
      </c>
      <c r="BD13" s="31">
        <v>2500104</v>
      </c>
    </row>
    <row r="14" spans="1:56" x14ac:dyDescent="0.3">
      <c r="A14" s="43"/>
      <c r="B14" s="43"/>
      <c r="C14" s="10" t="s">
        <v>84</v>
      </c>
      <c r="D14" s="3" t="s">
        <v>90</v>
      </c>
      <c r="E14" s="3" t="s">
        <v>91</v>
      </c>
      <c r="F14" s="5" t="s">
        <v>70</v>
      </c>
      <c r="G14" s="32"/>
      <c r="H14" s="32"/>
      <c r="I14" s="32"/>
      <c r="J14" s="32"/>
      <c r="K14" s="32"/>
      <c r="L14" s="33"/>
      <c r="M14" s="33"/>
      <c r="N14" s="33"/>
      <c r="O14" s="33"/>
      <c r="P14" s="33"/>
      <c r="Q14" s="31">
        <v>472519.65600000002</v>
      </c>
      <c r="R14" s="31">
        <v>472519.65600000002</v>
      </c>
      <c r="S14" s="31">
        <v>472519.65600000002</v>
      </c>
      <c r="T14" s="31">
        <v>472519.65600000002</v>
      </c>
      <c r="U14" s="32"/>
      <c r="V14" s="32"/>
      <c r="W14" s="32"/>
      <c r="X14" s="32"/>
      <c r="Y14" s="33"/>
      <c r="Z14" s="33"/>
      <c r="AA14" s="33"/>
      <c r="AB14" s="33"/>
      <c r="AC14" s="33"/>
      <c r="AD14" s="31">
        <v>472519.65600000002</v>
      </c>
      <c r="AE14" s="31">
        <v>472519.65600000002</v>
      </c>
      <c r="AF14" s="31">
        <v>472519.65600000002</v>
      </c>
      <c r="AG14" s="31">
        <v>472519.65600000002</v>
      </c>
      <c r="AH14" s="31">
        <v>472519.65600000002</v>
      </c>
      <c r="AI14" s="32"/>
      <c r="AJ14" s="32"/>
      <c r="AK14" s="33"/>
      <c r="AL14" s="33"/>
      <c r="AM14" s="33"/>
      <c r="AN14" s="31">
        <v>472519.65600000002</v>
      </c>
      <c r="AO14" s="31">
        <v>472519.65600000002</v>
      </c>
      <c r="AP14" s="31">
        <v>472519.65600000002</v>
      </c>
      <c r="AQ14" s="31">
        <v>472519.65600000002</v>
      </c>
      <c r="AR14" s="32"/>
      <c r="AS14" s="32"/>
      <c r="AT14" s="33"/>
      <c r="AU14" s="33"/>
      <c r="AV14" s="31">
        <v>472519.65600000002</v>
      </c>
      <c r="AW14" s="31">
        <v>472519.65600000002</v>
      </c>
      <c r="AX14" s="31">
        <v>472519.65600000002</v>
      </c>
      <c r="AY14" s="32"/>
      <c r="AZ14" s="32"/>
      <c r="BA14" s="33"/>
      <c r="BB14" s="33"/>
      <c r="BC14" s="31">
        <v>472519.65600000002</v>
      </c>
      <c r="BD14" s="31">
        <v>472519.65600000002</v>
      </c>
    </row>
    <row r="15" spans="1:56" x14ac:dyDescent="0.3">
      <c r="A15" s="43"/>
      <c r="B15" s="43"/>
      <c r="C15" s="10" t="s">
        <v>84</v>
      </c>
      <c r="D15" s="3" t="s">
        <v>92</v>
      </c>
      <c r="E15" s="3" t="s">
        <v>93</v>
      </c>
      <c r="F15" s="3" t="s">
        <v>94</v>
      </c>
      <c r="G15" s="32"/>
      <c r="H15" s="32"/>
      <c r="I15" s="32"/>
      <c r="J15" s="32"/>
      <c r="K15" s="32"/>
      <c r="L15" s="33"/>
      <c r="M15" s="33"/>
      <c r="N15" s="33"/>
      <c r="O15" s="33"/>
      <c r="P15" s="33"/>
      <c r="Q15" s="31">
        <v>3437643</v>
      </c>
      <c r="R15" s="31">
        <v>3437643</v>
      </c>
      <c r="S15" s="31">
        <v>3437643</v>
      </c>
      <c r="T15" s="31">
        <v>3437643</v>
      </c>
      <c r="U15" s="32"/>
      <c r="V15" s="32"/>
      <c r="W15" s="32"/>
      <c r="X15" s="32"/>
      <c r="Y15" s="33"/>
      <c r="Z15" s="33"/>
      <c r="AA15" s="33"/>
      <c r="AB15" s="33"/>
      <c r="AC15" s="33"/>
      <c r="AD15" s="31">
        <v>3437643</v>
      </c>
      <c r="AE15" s="31">
        <v>3437643</v>
      </c>
      <c r="AF15" s="31">
        <v>3437643</v>
      </c>
      <c r="AG15" s="31">
        <v>3437643</v>
      </c>
      <c r="AH15" s="31">
        <v>3437643</v>
      </c>
      <c r="AI15" s="32"/>
      <c r="AJ15" s="32"/>
      <c r="AK15" s="33"/>
      <c r="AL15" s="33"/>
      <c r="AM15" s="33"/>
      <c r="AN15" s="31">
        <v>3437643</v>
      </c>
      <c r="AO15" s="31">
        <v>3437643</v>
      </c>
      <c r="AP15" s="31">
        <v>3437643</v>
      </c>
      <c r="AQ15" s="31">
        <v>3437643</v>
      </c>
      <c r="AR15" s="32"/>
      <c r="AS15" s="32"/>
      <c r="AT15" s="33"/>
      <c r="AU15" s="33"/>
      <c r="AV15" s="31">
        <v>3437643</v>
      </c>
      <c r="AW15" s="31">
        <v>3437643</v>
      </c>
      <c r="AX15" s="31">
        <v>3437643</v>
      </c>
      <c r="AY15" s="32"/>
      <c r="AZ15" s="32"/>
      <c r="BA15" s="33"/>
      <c r="BB15" s="33"/>
      <c r="BC15" s="31">
        <v>3437643</v>
      </c>
      <c r="BD15" s="31">
        <v>3437643</v>
      </c>
    </row>
    <row r="16" spans="1:56" x14ac:dyDescent="0.3">
      <c r="A16" s="43"/>
      <c r="B16" s="43"/>
      <c r="C16" s="10" t="s">
        <v>84</v>
      </c>
      <c r="D16" s="3" t="s">
        <v>65</v>
      </c>
      <c r="E16" s="3" t="s">
        <v>95</v>
      </c>
      <c r="F16" s="3" t="s">
        <v>67</v>
      </c>
      <c r="G16" s="32"/>
      <c r="H16" s="32"/>
      <c r="I16" s="32"/>
      <c r="J16" s="32"/>
      <c r="K16" s="32"/>
      <c r="L16" s="33"/>
      <c r="M16" s="33"/>
      <c r="N16" s="33"/>
      <c r="O16" s="33"/>
      <c r="P16" s="33"/>
      <c r="Q16" s="31">
        <v>3750.1559999999999</v>
      </c>
      <c r="R16" s="31">
        <v>3750.1559999999999</v>
      </c>
      <c r="S16" s="31">
        <v>3750.1559999999999</v>
      </c>
      <c r="T16" s="31">
        <v>3750.1559999999999</v>
      </c>
      <c r="U16" s="32"/>
      <c r="V16" s="32"/>
      <c r="W16" s="32"/>
      <c r="X16" s="32"/>
      <c r="Y16" s="33"/>
      <c r="Z16" s="33"/>
      <c r="AA16" s="33"/>
      <c r="AB16" s="33"/>
      <c r="AC16" s="33"/>
      <c r="AD16" s="31">
        <v>3750.1559999999999</v>
      </c>
      <c r="AE16" s="31">
        <v>3750.1559999999999</v>
      </c>
      <c r="AF16" s="31">
        <v>3750.1559999999999</v>
      </c>
      <c r="AG16" s="31">
        <v>3750.1559999999999</v>
      </c>
      <c r="AH16" s="31">
        <v>3750.1559999999999</v>
      </c>
      <c r="AI16" s="32"/>
      <c r="AJ16" s="32"/>
      <c r="AK16" s="33"/>
      <c r="AL16" s="33"/>
      <c r="AM16" s="33"/>
      <c r="AN16" s="31">
        <v>3750.1559999999999</v>
      </c>
      <c r="AO16" s="31">
        <v>3750.1559999999999</v>
      </c>
      <c r="AP16" s="31">
        <v>3750.1559999999999</v>
      </c>
      <c r="AQ16" s="31">
        <v>3750.1559999999999</v>
      </c>
      <c r="AR16" s="32"/>
      <c r="AS16" s="32"/>
      <c r="AT16" s="33"/>
      <c r="AU16" s="33"/>
      <c r="AV16" s="31">
        <v>3750.1559999999999</v>
      </c>
      <c r="AW16" s="31">
        <v>3750.1559999999999</v>
      </c>
      <c r="AX16" s="31">
        <v>3750.1559999999999</v>
      </c>
      <c r="AY16" s="32"/>
      <c r="AZ16" s="32"/>
      <c r="BA16" s="33"/>
      <c r="BB16" s="33"/>
      <c r="BC16" s="31">
        <v>3750.1559999999999</v>
      </c>
      <c r="BD16" s="31">
        <v>3750.1559999999999</v>
      </c>
    </row>
    <row r="17" spans="1:56" x14ac:dyDescent="0.3">
      <c r="A17" s="43"/>
      <c r="B17" s="43"/>
      <c r="C17" s="10" t="s">
        <v>84</v>
      </c>
      <c r="D17" s="3" t="s">
        <v>71</v>
      </c>
      <c r="E17" s="3" t="s">
        <v>96</v>
      </c>
      <c r="F17" s="3" t="s">
        <v>73</v>
      </c>
      <c r="G17" s="32"/>
      <c r="H17" s="32"/>
      <c r="I17" s="32"/>
      <c r="J17" s="32"/>
      <c r="K17" s="32"/>
      <c r="L17" s="33"/>
      <c r="M17" s="33"/>
      <c r="N17" s="33"/>
      <c r="O17" s="33"/>
      <c r="P17" s="33"/>
      <c r="Q17" s="31">
        <v>1458394</v>
      </c>
      <c r="R17" s="31">
        <v>1458394</v>
      </c>
      <c r="S17" s="31">
        <v>1458394</v>
      </c>
      <c r="T17" s="31">
        <v>1458394</v>
      </c>
      <c r="U17" s="32"/>
      <c r="V17" s="32"/>
      <c r="W17" s="32"/>
      <c r="X17" s="32"/>
      <c r="Y17" s="33"/>
      <c r="Z17" s="33"/>
      <c r="AA17" s="33"/>
      <c r="AB17" s="33"/>
      <c r="AC17" s="33"/>
      <c r="AD17" s="31">
        <v>1458394</v>
      </c>
      <c r="AE17" s="31">
        <v>1458394</v>
      </c>
      <c r="AF17" s="31">
        <v>1458394</v>
      </c>
      <c r="AG17" s="31">
        <v>1458394</v>
      </c>
      <c r="AH17" s="31">
        <v>0</v>
      </c>
      <c r="AI17" s="32"/>
      <c r="AJ17" s="32"/>
      <c r="AK17" s="33"/>
      <c r="AL17" s="33"/>
      <c r="AM17" s="33"/>
      <c r="AN17" s="31">
        <v>1458394</v>
      </c>
      <c r="AO17" s="31">
        <v>1458394</v>
      </c>
      <c r="AP17" s="31">
        <v>1458394</v>
      </c>
      <c r="AQ17" s="31">
        <v>1458394</v>
      </c>
      <c r="AR17" s="32"/>
      <c r="AS17" s="32"/>
      <c r="AT17" s="33"/>
      <c r="AU17" s="33"/>
      <c r="AV17" s="31">
        <v>1458394</v>
      </c>
      <c r="AW17" s="31">
        <v>1458394</v>
      </c>
      <c r="AX17" s="31">
        <v>0</v>
      </c>
      <c r="AY17" s="32"/>
      <c r="AZ17" s="32"/>
      <c r="BA17" s="33"/>
      <c r="BB17" s="33"/>
      <c r="BC17" s="31">
        <v>1458394</v>
      </c>
      <c r="BD17" s="31">
        <v>1458394</v>
      </c>
    </row>
    <row r="18" spans="1:56" x14ac:dyDescent="0.3">
      <c r="A18" s="43"/>
      <c r="B18" s="43"/>
      <c r="C18" s="10" t="s">
        <v>84</v>
      </c>
      <c r="D18" s="3" t="s">
        <v>74</v>
      </c>
      <c r="E18" s="3" t="s">
        <v>97</v>
      </c>
      <c r="F18" s="3" t="s">
        <v>76</v>
      </c>
      <c r="G18" s="32"/>
      <c r="H18" s="32"/>
      <c r="I18" s="32"/>
      <c r="J18" s="32"/>
      <c r="K18" s="32"/>
      <c r="L18" s="33"/>
      <c r="M18" s="33"/>
      <c r="N18" s="33"/>
      <c r="O18" s="33"/>
      <c r="P18" s="33"/>
      <c r="Q18" s="31">
        <v>72919.7</v>
      </c>
      <c r="R18" s="31">
        <v>72919.7</v>
      </c>
      <c r="S18" s="31">
        <v>72919.7</v>
      </c>
      <c r="T18" s="31">
        <v>72919.7</v>
      </c>
      <c r="U18" s="32"/>
      <c r="V18" s="32"/>
      <c r="W18" s="32"/>
      <c r="X18" s="32"/>
      <c r="Y18" s="33"/>
      <c r="Z18" s="33"/>
      <c r="AA18" s="33"/>
      <c r="AB18" s="33"/>
      <c r="AC18" s="33"/>
      <c r="AD18" s="31">
        <v>72919.7</v>
      </c>
      <c r="AE18" s="31">
        <v>72919.7</v>
      </c>
      <c r="AF18" s="31">
        <v>72919.7</v>
      </c>
      <c r="AG18" s="31">
        <v>72919.7</v>
      </c>
      <c r="AH18" s="31">
        <v>72919.7</v>
      </c>
      <c r="AI18" s="32"/>
      <c r="AJ18" s="32"/>
      <c r="AK18" s="33"/>
      <c r="AL18" s="33"/>
      <c r="AM18" s="33"/>
      <c r="AN18" s="31">
        <v>72919.7</v>
      </c>
      <c r="AO18" s="31">
        <v>72919.7</v>
      </c>
      <c r="AP18" s="31">
        <v>72919.7</v>
      </c>
      <c r="AQ18" s="31">
        <v>72919.7</v>
      </c>
      <c r="AR18" s="32"/>
      <c r="AS18" s="32"/>
      <c r="AT18" s="33"/>
      <c r="AU18" s="33"/>
      <c r="AV18" s="31">
        <v>72919.7</v>
      </c>
      <c r="AW18" s="31">
        <v>72919.7</v>
      </c>
      <c r="AX18" s="31">
        <v>72919.7</v>
      </c>
      <c r="AY18" s="32"/>
      <c r="AZ18" s="32"/>
      <c r="BA18" s="33"/>
      <c r="BB18" s="33"/>
      <c r="BC18" s="31">
        <v>72919.7</v>
      </c>
      <c r="BD18" s="31">
        <v>72919.7</v>
      </c>
    </row>
    <row r="19" spans="1:56" x14ac:dyDescent="0.3">
      <c r="A19" s="43"/>
      <c r="B19" s="43"/>
      <c r="C19" s="10" t="s">
        <v>84</v>
      </c>
      <c r="D19" s="3" t="s">
        <v>77</v>
      </c>
      <c r="E19" s="3" t="s">
        <v>98</v>
      </c>
      <c r="F19" s="3" t="s">
        <v>76</v>
      </c>
      <c r="G19" s="32"/>
      <c r="H19" s="32"/>
      <c r="I19" s="32"/>
      <c r="J19" s="32"/>
      <c r="K19" s="32"/>
      <c r="L19" s="33"/>
      <c r="M19" s="33"/>
      <c r="N19" s="33"/>
      <c r="O19" s="33"/>
      <c r="P19" s="33"/>
      <c r="Q19" s="31">
        <v>136620.56929700001</v>
      </c>
      <c r="R19" s="31">
        <v>136620.56929700001</v>
      </c>
      <c r="S19" s="31">
        <v>136620.56929700001</v>
      </c>
      <c r="T19" s="31">
        <v>136620.56929700001</v>
      </c>
      <c r="U19" s="32"/>
      <c r="V19" s="32"/>
      <c r="W19" s="32"/>
      <c r="X19" s="32"/>
      <c r="Y19" s="33"/>
      <c r="Z19" s="33"/>
      <c r="AA19" s="33"/>
      <c r="AB19" s="33"/>
      <c r="AC19" s="33"/>
      <c r="AD19" s="31">
        <v>136620.56929700001</v>
      </c>
      <c r="AE19" s="31">
        <v>136620.56929700001</v>
      </c>
      <c r="AF19" s="31">
        <v>136620.56929700001</v>
      </c>
      <c r="AG19" s="31">
        <v>136620.56929700001</v>
      </c>
      <c r="AH19" s="31">
        <v>0</v>
      </c>
      <c r="AI19" s="32"/>
      <c r="AJ19" s="32"/>
      <c r="AK19" s="33"/>
      <c r="AL19" s="33"/>
      <c r="AM19" s="33"/>
      <c r="AN19" s="31">
        <v>136620.56929700001</v>
      </c>
      <c r="AO19" s="31">
        <v>136620.56929700001</v>
      </c>
      <c r="AP19" s="31">
        <v>136620.56929700001</v>
      </c>
      <c r="AQ19" s="31">
        <v>136620.56929700001</v>
      </c>
      <c r="AR19" s="32"/>
      <c r="AS19" s="32"/>
      <c r="AT19" s="33"/>
      <c r="AU19" s="33"/>
      <c r="AV19" s="31">
        <v>146074.52584399999</v>
      </c>
      <c r="AW19" s="31">
        <v>146074.52584399999</v>
      </c>
      <c r="AX19" s="31">
        <v>0</v>
      </c>
      <c r="AY19" s="32"/>
      <c r="AZ19" s="32"/>
      <c r="BA19" s="33"/>
      <c r="BB19" s="33"/>
      <c r="BC19" s="31">
        <v>170646.81891599999</v>
      </c>
      <c r="BD19" s="31">
        <v>170646.81891599999</v>
      </c>
    </row>
    <row r="20" spans="1:56" x14ac:dyDescent="0.3">
      <c r="A20" s="43"/>
      <c r="B20" s="43"/>
      <c r="C20" s="10" t="s">
        <v>84</v>
      </c>
      <c r="D20" s="3" t="s">
        <v>79</v>
      </c>
      <c r="E20" s="3" t="s">
        <v>99</v>
      </c>
      <c r="F20" s="3" t="s">
        <v>73</v>
      </c>
      <c r="G20" s="32"/>
      <c r="H20" s="32"/>
      <c r="I20" s="32"/>
      <c r="J20" s="32"/>
      <c r="K20" s="32"/>
      <c r="L20" s="33"/>
      <c r="M20" s="33"/>
      <c r="N20" s="33"/>
      <c r="O20" s="33"/>
      <c r="P20" s="33"/>
      <c r="Q20" s="31">
        <v>3415514.2324180002</v>
      </c>
      <c r="R20" s="31">
        <v>3415514.2324180002</v>
      </c>
      <c r="S20" s="31">
        <v>3415514.2324180002</v>
      </c>
      <c r="T20" s="31">
        <v>3415514.2324180002</v>
      </c>
      <c r="U20" s="32"/>
      <c r="V20" s="32"/>
      <c r="W20" s="32"/>
      <c r="X20" s="32"/>
      <c r="Y20" s="33"/>
      <c r="Z20" s="33"/>
      <c r="AA20" s="33"/>
      <c r="AB20" s="33"/>
      <c r="AC20" s="33"/>
      <c r="AD20" s="31">
        <v>3415514.2324180002</v>
      </c>
      <c r="AE20" s="31">
        <v>3415514.2324180002</v>
      </c>
      <c r="AF20" s="31">
        <v>3415514.2324180002</v>
      </c>
      <c r="AG20" s="31">
        <v>3415514.2324180002</v>
      </c>
      <c r="AH20" s="31">
        <v>0</v>
      </c>
      <c r="AI20" s="32"/>
      <c r="AJ20" s="32"/>
      <c r="AK20" s="33"/>
      <c r="AL20" s="33"/>
      <c r="AM20" s="33"/>
      <c r="AN20" s="31">
        <v>3415514.2324180002</v>
      </c>
      <c r="AO20" s="31">
        <v>3415514.2324180002</v>
      </c>
      <c r="AP20" s="31">
        <v>3415514.2324180002</v>
      </c>
      <c r="AQ20" s="31">
        <v>3415514.2324180002</v>
      </c>
      <c r="AR20" s="32"/>
      <c r="AS20" s="32"/>
      <c r="AT20" s="33"/>
      <c r="AU20" s="33"/>
      <c r="AV20" s="31">
        <v>3651863.1460879999</v>
      </c>
      <c r="AW20" s="31">
        <v>3651863.1460879999</v>
      </c>
      <c r="AX20" s="31">
        <v>0</v>
      </c>
      <c r="AY20" s="32"/>
      <c r="AZ20" s="32"/>
      <c r="BA20" s="33"/>
      <c r="BB20" s="33"/>
      <c r="BC20" s="31">
        <v>4266170.4728910001</v>
      </c>
      <c r="BD20" s="31">
        <v>4266170.4728910001</v>
      </c>
    </row>
    <row r="21" spans="1:56" x14ac:dyDescent="0.3">
      <c r="A21" s="43"/>
      <c r="B21" s="43"/>
      <c r="C21" s="10" t="s">
        <v>84</v>
      </c>
      <c r="D21" s="3" t="s">
        <v>81</v>
      </c>
      <c r="E21" s="3" t="s">
        <v>100</v>
      </c>
      <c r="F21" s="3" t="s">
        <v>76</v>
      </c>
      <c r="G21" s="32"/>
      <c r="H21" s="32"/>
      <c r="I21" s="32"/>
      <c r="J21" s="32"/>
      <c r="K21" s="32"/>
      <c r="L21" s="33"/>
      <c r="M21" s="33"/>
      <c r="N21" s="33"/>
      <c r="O21" s="33"/>
      <c r="P21" s="33"/>
      <c r="Q21" s="31">
        <v>209540.26929699999</v>
      </c>
      <c r="R21" s="31">
        <v>209540.26929699999</v>
      </c>
      <c r="S21" s="31">
        <v>209540.26929699999</v>
      </c>
      <c r="T21" s="31">
        <v>209540.26929699999</v>
      </c>
      <c r="U21" s="32"/>
      <c r="V21" s="32"/>
      <c r="W21" s="32"/>
      <c r="X21" s="32"/>
      <c r="Y21" s="33"/>
      <c r="Z21" s="33"/>
      <c r="AA21" s="33"/>
      <c r="AB21" s="33"/>
      <c r="AC21" s="33"/>
      <c r="AD21" s="31">
        <v>209540.26929699999</v>
      </c>
      <c r="AE21" s="31">
        <v>209540.26929699999</v>
      </c>
      <c r="AF21" s="31">
        <v>209540.26929699999</v>
      </c>
      <c r="AG21" s="31">
        <v>209540.26929699999</v>
      </c>
      <c r="AH21" s="31">
        <v>72919.7</v>
      </c>
      <c r="AI21" s="32"/>
      <c r="AJ21" s="32"/>
      <c r="AK21" s="33"/>
      <c r="AL21" s="33"/>
      <c r="AM21" s="33"/>
      <c r="AN21" s="31">
        <v>209540.26929699999</v>
      </c>
      <c r="AO21" s="31">
        <v>209540.26929699999</v>
      </c>
      <c r="AP21" s="31">
        <v>209540.26929699999</v>
      </c>
      <c r="AQ21" s="31">
        <v>209540.26929699999</v>
      </c>
      <c r="AR21" s="32"/>
      <c r="AS21" s="32"/>
      <c r="AT21" s="33"/>
      <c r="AU21" s="33"/>
      <c r="AV21" s="31">
        <v>218994.225844</v>
      </c>
      <c r="AW21" s="31">
        <v>218994.225844</v>
      </c>
      <c r="AX21" s="31">
        <v>72919.7</v>
      </c>
      <c r="AY21" s="32"/>
      <c r="AZ21" s="32"/>
      <c r="BA21" s="33"/>
      <c r="BB21" s="33"/>
      <c r="BC21" s="31">
        <v>243566.518916</v>
      </c>
      <c r="BD21" s="31">
        <v>243566.518916</v>
      </c>
    </row>
    <row r="22" spans="1:56" x14ac:dyDescent="0.3">
      <c r="A22" s="43"/>
      <c r="B22" s="44"/>
      <c r="C22" s="10"/>
      <c r="G22" s="32"/>
      <c r="H22" s="32"/>
      <c r="I22" s="32"/>
      <c r="J22" s="32"/>
      <c r="K22" s="32"/>
      <c r="L22" s="33"/>
      <c r="M22" s="33"/>
      <c r="N22" s="33"/>
      <c r="O22" s="33"/>
      <c r="P22" s="33"/>
      <c r="Q22" s="34"/>
      <c r="R22" s="34"/>
      <c r="S22" s="34"/>
      <c r="T22" s="34"/>
      <c r="U22" s="32"/>
      <c r="V22" s="32"/>
      <c r="W22" s="32"/>
      <c r="X22" s="32"/>
      <c r="Y22" s="33"/>
      <c r="Z22" s="33"/>
      <c r="AA22" s="33"/>
      <c r="AB22" s="33"/>
      <c r="AC22" s="33"/>
      <c r="AD22" s="34"/>
      <c r="AE22" s="34"/>
      <c r="AF22" s="34"/>
      <c r="AG22" s="34"/>
      <c r="AH22" s="34"/>
      <c r="AI22" s="32"/>
      <c r="AJ22" s="32"/>
      <c r="AK22" s="33"/>
      <c r="AL22" s="33"/>
      <c r="AM22" s="33"/>
      <c r="AN22" s="34"/>
      <c r="AO22" s="34"/>
      <c r="AP22" s="34"/>
      <c r="AQ22" s="34"/>
      <c r="AR22" s="32"/>
      <c r="AS22" s="32"/>
      <c r="AT22" s="33"/>
      <c r="AU22" s="33"/>
      <c r="AV22" s="34"/>
      <c r="AW22" s="34"/>
      <c r="AX22" s="34"/>
      <c r="AY22" s="32"/>
      <c r="AZ22" s="32"/>
      <c r="BA22" s="33"/>
      <c r="BB22" s="33"/>
      <c r="BC22" s="34"/>
      <c r="BD22" s="34"/>
    </row>
    <row r="23" spans="1:56" x14ac:dyDescent="0.3">
      <c r="A23" s="43"/>
      <c r="B23" s="46" t="s">
        <v>101</v>
      </c>
      <c r="C23" s="11" t="s">
        <v>102</v>
      </c>
      <c r="D23" s="6" t="s">
        <v>59</v>
      </c>
      <c r="E23" s="6" t="s">
        <v>103</v>
      </c>
      <c r="F23" s="6" t="s">
        <v>86</v>
      </c>
      <c r="G23" s="29">
        <v>849.66652599999998</v>
      </c>
      <c r="H23" s="29">
        <v>849.66652599999998</v>
      </c>
      <c r="I23" s="29">
        <v>849.66652599999998</v>
      </c>
      <c r="J23" s="29">
        <v>849.66652599999998</v>
      </c>
      <c r="K23" s="29">
        <v>0</v>
      </c>
      <c r="L23" s="33"/>
      <c r="M23" s="33"/>
      <c r="N23" s="33"/>
      <c r="O23" s="33"/>
      <c r="P23" s="33"/>
      <c r="Q23" s="34"/>
      <c r="R23" s="34"/>
      <c r="S23" s="34"/>
      <c r="T23" s="34"/>
      <c r="U23" s="29">
        <v>849.66652599999998</v>
      </c>
      <c r="V23" s="29">
        <v>849.66652599999998</v>
      </c>
      <c r="W23" s="29">
        <v>849.66652599999998</v>
      </c>
      <c r="X23" s="29">
        <v>849.66652599999998</v>
      </c>
      <c r="Y23" s="33"/>
      <c r="Z23" s="33"/>
      <c r="AA23" s="33"/>
      <c r="AB23" s="33"/>
      <c r="AC23" s="33"/>
      <c r="AD23" s="34"/>
      <c r="AE23" s="34"/>
      <c r="AF23" s="34"/>
      <c r="AG23" s="34"/>
      <c r="AH23" s="34"/>
      <c r="AI23" s="29">
        <v>849.66652599999998</v>
      </c>
      <c r="AJ23" s="29">
        <v>849.66652599999998</v>
      </c>
      <c r="AK23" s="33"/>
      <c r="AL23" s="33"/>
      <c r="AM23" s="33"/>
      <c r="AN23" s="34"/>
      <c r="AO23" s="34"/>
      <c r="AP23" s="34"/>
      <c r="AQ23" s="34"/>
      <c r="AR23" s="29">
        <v>908.46228799999994</v>
      </c>
      <c r="AS23" s="29">
        <v>908.46228799999994</v>
      </c>
      <c r="AT23" s="33"/>
      <c r="AU23" s="33"/>
      <c r="AV23" s="34"/>
      <c r="AW23" s="34"/>
      <c r="AX23" s="34"/>
      <c r="AY23" s="29">
        <v>1061.2815519999999</v>
      </c>
      <c r="AZ23" s="29">
        <v>1061.2815519999999</v>
      </c>
      <c r="BA23" s="33"/>
      <c r="BB23" s="33"/>
      <c r="BC23" s="34"/>
      <c r="BD23" s="34"/>
    </row>
    <row r="24" spans="1:56" x14ac:dyDescent="0.3">
      <c r="A24" s="43"/>
      <c r="B24" s="43"/>
      <c r="C24" s="10" t="s">
        <v>102</v>
      </c>
      <c r="D24" s="3" t="s">
        <v>104</v>
      </c>
      <c r="E24" s="3" t="s">
        <v>105</v>
      </c>
      <c r="F24" s="3" t="s">
        <v>106</v>
      </c>
      <c r="G24" s="29">
        <v>2500104</v>
      </c>
      <c r="H24" s="29">
        <v>2500104</v>
      </c>
      <c r="I24" s="29">
        <v>2500104</v>
      </c>
      <c r="J24" s="29">
        <v>2500104</v>
      </c>
      <c r="K24" s="29">
        <v>2500104</v>
      </c>
      <c r="L24" s="33"/>
      <c r="M24" s="33"/>
      <c r="N24" s="33"/>
      <c r="O24" s="33"/>
      <c r="P24" s="33"/>
      <c r="Q24" s="34"/>
      <c r="R24" s="34"/>
      <c r="S24" s="34"/>
      <c r="T24" s="34"/>
      <c r="U24" s="29">
        <v>2500104</v>
      </c>
      <c r="V24" s="29">
        <v>2500104</v>
      </c>
      <c r="W24" s="29">
        <v>2500104</v>
      </c>
      <c r="X24" s="29">
        <v>2500104</v>
      </c>
      <c r="Y24" s="33"/>
      <c r="Z24" s="33"/>
      <c r="AA24" s="33"/>
      <c r="AB24" s="33"/>
      <c r="AC24" s="33"/>
      <c r="AD24" s="34"/>
      <c r="AE24" s="34"/>
      <c r="AF24" s="34"/>
      <c r="AG24" s="34"/>
      <c r="AH24" s="34"/>
      <c r="AI24" s="29">
        <v>2500104</v>
      </c>
      <c r="AJ24" s="29">
        <v>2500104</v>
      </c>
      <c r="AK24" s="33"/>
      <c r="AL24" s="33"/>
      <c r="AM24" s="33"/>
      <c r="AN24" s="34"/>
      <c r="AO24" s="34"/>
      <c r="AP24" s="34"/>
      <c r="AQ24" s="34"/>
      <c r="AR24" s="29">
        <v>2500104</v>
      </c>
      <c r="AS24" s="29">
        <v>2500104</v>
      </c>
      <c r="AT24" s="33"/>
      <c r="AU24" s="33"/>
      <c r="AV24" s="34"/>
      <c r="AW24" s="34"/>
      <c r="AX24" s="34"/>
      <c r="AY24" s="29">
        <v>2500104</v>
      </c>
      <c r="AZ24" s="29">
        <v>2500104</v>
      </c>
      <c r="BA24" s="33"/>
      <c r="BB24" s="33"/>
      <c r="BC24" s="34"/>
      <c r="BD24" s="34"/>
    </row>
    <row r="25" spans="1:56" x14ac:dyDescent="0.3">
      <c r="A25" s="43"/>
      <c r="B25" s="43"/>
      <c r="C25" s="10" t="s">
        <v>102</v>
      </c>
      <c r="D25" s="3" t="s">
        <v>90</v>
      </c>
      <c r="E25" s="3" t="s">
        <v>107</v>
      </c>
      <c r="F25" s="5" t="s">
        <v>70</v>
      </c>
      <c r="G25" s="29">
        <v>445018.51199999999</v>
      </c>
      <c r="H25" s="29">
        <v>445018.51199999999</v>
      </c>
      <c r="I25" s="29">
        <v>445018.51199999999</v>
      </c>
      <c r="J25" s="29">
        <v>445018.51199999999</v>
      </c>
      <c r="K25" s="29">
        <v>445018.51199999999</v>
      </c>
      <c r="L25" s="33"/>
      <c r="M25" s="33"/>
      <c r="N25" s="33"/>
      <c r="O25" s="33"/>
      <c r="P25" s="33"/>
      <c r="Q25" s="34"/>
      <c r="R25" s="34"/>
      <c r="S25" s="34"/>
      <c r="T25" s="34"/>
      <c r="U25" s="29">
        <v>445018.51199999999</v>
      </c>
      <c r="V25" s="29">
        <v>445018.51199999999</v>
      </c>
      <c r="W25" s="29">
        <v>445018.51199999999</v>
      </c>
      <c r="X25" s="29">
        <v>445018.51199999999</v>
      </c>
      <c r="Y25" s="33"/>
      <c r="Z25" s="33"/>
      <c r="AA25" s="33"/>
      <c r="AB25" s="33"/>
      <c r="AC25" s="33"/>
      <c r="AD25" s="34"/>
      <c r="AE25" s="34"/>
      <c r="AF25" s="34"/>
      <c r="AG25" s="34"/>
      <c r="AH25" s="34"/>
      <c r="AI25" s="29">
        <v>445018.51199999999</v>
      </c>
      <c r="AJ25" s="29">
        <v>445018.51199999999</v>
      </c>
      <c r="AK25" s="33"/>
      <c r="AL25" s="33"/>
      <c r="AM25" s="33"/>
      <c r="AN25" s="34"/>
      <c r="AO25" s="34"/>
      <c r="AP25" s="34"/>
      <c r="AQ25" s="34"/>
      <c r="AR25" s="29">
        <v>445018.51199999999</v>
      </c>
      <c r="AS25" s="29">
        <v>445018.51199999999</v>
      </c>
      <c r="AT25" s="33"/>
      <c r="AU25" s="33"/>
      <c r="AV25" s="34"/>
      <c r="AW25" s="34"/>
      <c r="AX25" s="34"/>
      <c r="AY25" s="29">
        <v>445018.51199999999</v>
      </c>
      <c r="AZ25" s="29">
        <v>445018.51199999999</v>
      </c>
      <c r="BA25" s="33"/>
      <c r="BB25" s="33"/>
      <c r="BC25" s="34"/>
      <c r="BD25" s="34"/>
    </row>
    <row r="26" spans="1:56" x14ac:dyDescent="0.3">
      <c r="A26" s="43"/>
      <c r="B26" s="43"/>
      <c r="C26" s="10" t="s">
        <v>102</v>
      </c>
      <c r="D26" s="3" t="s">
        <v>108</v>
      </c>
      <c r="E26" s="3" t="s">
        <v>109</v>
      </c>
      <c r="F26" s="3" t="s">
        <v>110</v>
      </c>
      <c r="G26" s="29">
        <v>2055085.4879999999</v>
      </c>
      <c r="H26" s="29">
        <v>2055085.4879999999</v>
      </c>
      <c r="I26" s="29">
        <v>2055085.4879999999</v>
      </c>
      <c r="J26" s="29">
        <v>2055085.4879999999</v>
      </c>
      <c r="K26" s="29">
        <v>2055085.4879999999</v>
      </c>
      <c r="L26" s="33"/>
      <c r="M26" s="33"/>
      <c r="N26" s="33"/>
      <c r="O26" s="33"/>
      <c r="P26" s="33"/>
      <c r="Q26" s="34"/>
      <c r="R26" s="34"/>
      <c r="S26" s="34"/>
      <c r="T26" s="34"/>
      <c r="U26" s="29">
        <v>2055085.4879999999</v>
      </c>
      <c r="V26" s="29">
        <v>2055085.4879999999</v>
      </c>
      <c r="W26" s="29">
        <v>2055085.4879999999</v>
      </c>
      <c r="X26" s="29">
        <v>2055085.4879999999</v>
      </c>
      <c r="Y26" s="33"/>
      <c r="Z26" s="33"/>
      <c r="AA26" s="33"/>
      <c r="AB26" s="33"/>
      <c r="AC26" s="33"/>
      <c r="AD26" s="34"/>
      <c r="AE26" s="34"/>
      <c r="AF26" s="34"/>
      <c r="AG26" s="34"/>
      <c r="AH26" s="34"/>
      <c r="AI26" s="29">
        <v>2055085.4879999999</v>
      </c>
      <c r="AJ26" s="29">
        <v>2055085.4879999999</v>
      </c>
      <c r="AK26" s="33"/>
      <c r="AL26" s="33"/>
      <c r="AM26" s="33"/>
      <c r="AN26" s="34"/>
      <c r="AO26" s="34"/>
      <c r="AP26" s="34"/>
      <c r="AQ26" s="34"/>
      <c r="AR26" s="29">
        <v>2055085.4879999999</v>
      </c>
      <c r="AS26" s="29">
        <v>2055085.4879999999</v>
      </c>
      <c r="AT26" s="33"/>
      <c r="AU26" s="33"/>
      <c r="AV26" s="34"/>
      <c r="AW26" s="34"/>
      <c r="AX26" s="34"/>
      <c r="AY26" s="29">
        <v>2055085.4879999999</v>
      </c>
      <c r="AZ26" s="29">
        <v>2055085.4879999999</v>
      </c>
      <c r="BA26" s="33"/>
      <c r="BB26" s="33"/>
      <c r="BC26" s="34"/>
      <c r="BD26" s="34"/>
    </row>
    <row r="27" spans="1:56" x14ac:dyDescent="0.3">
      <c r="A27" s="43"/>
      <c r="B27" s="43"/>
      <c r="C27" s="10" t="s">
        <v>102</v>
      </c>
      <c r="D27" s="3" t="s">
        <v>65</v>
      </c>
      <c r="E27" s="3" t="s">
        <v>111</v>
      </c>
      <c r="F27" s="3" t="s">
        <v>67</v>
      </c>
      <c r="G27" s="29">
        <v>4500.1872000000003</v>
      </c>
      <c r="H27" s="29">
        <v>4500.1872000000003</v>
      </c>
      <c r="I27" s="29">
        <v>4500.1872000000003</v>
      </c>
      <c r="J27" s="29">
        <v>4500.1872000000003</v>
      </c>
      <c r="K27" s="29">
        <v>4500.1872000000003</v>
      </c>
      <c r="L27" s="33"/>
      <c r="M27" s="33"/>
      <c r="N27" s="33"/>
      <c r="O27" s="33"/>
      <c r="P27" s="33"/>
      <c r="Q27" s="34"/>
      <c r="R27" s="34"/>
      <c r="S27" s="34"/>
      <c r="T27" s="34"/>
      <c r="U27" s="29">
        <v>4500.1872000000003</v>
      </c>
      <c r="V27" s="29">
        <v>4500.1872000000003</v>
      </c>
      <c r="W27" s="29">
        <v>4500.1872000000003</v>
      </c>
      <c r="X27" s="29">
        <v>4500.1872000000003</v>
      </c>
      <c r="Y27" s="33"/>
      <c r="Z27" s="33"/>
      <c r="AA27" s="33"/>
      <c r="AB27" s="33"/>
      <c r="AC27" s="33"/>
      <c r="AD27" s="34"/>
      <c r="AE27" s="34"/>
      <c r="AF27" s="34"/>
      <c r="AG27" s="34"/>
      <c r="AH27" s="34"/>
      <c r="AI27" s="29">
        <v>4500.1872000000003</v>
      </c>
      <c r="AJ27" s="29">
        <v>4500.1872000000003</v>
      </c>
      <c r="AK27" s="33"/>
      <c r="AL27" s="33"/>
      <c r="AM27" s="33"/>
      <c r="AN27" s="34"/>
      <c r="AO27" s="34"/>
      <c r="AP27" s="34"/>
      <c r="AQ27" s="34"/>
      <c r="AR27" s="29">
        <v>4500.1872000000003</v>
      </c>
      <c r="AS27" s="29">
        <v>4500.1872000000003</v>
      </c>
      <c r="AT27" s="33"/>
      <c r="AU27" s="33"/>
      <c r="AV27" s="34"/>
      <c r="AW27" s="34"/>
      <c r="AX27" s="34"/>
      <c r="AY27" s="29">
        <v>4500.1872000000003</v>
      </c>
      <c r="AZ27" s="29">
        <v>4500.1872000000003</v>
      </c>
      <c r="BA27" s="33"/>
      <c r="BB27" s="33"/>
      <c r="BC27" s="34"/>
      <c r="BD27" s="34"/>
    </row>
    <row r="28" spans="1:56" x14ac:dyDescent="0.3">
      <c r="A28" s="43"/>
      <c r="B28" s="43"/>
      <c r="C28" s="10" t="s">
        <v>102</v>
      </c>
      <c r="D28" s="3" t="s">
        <v>71</v>
      </c>
      <c r="E28" s="3" t="s">
        <v>112</v>
      </c>
      <c r="F28" s="3" t="s">
        <v>73</v>
      </c>
      <c r="G28" s="29">
        <v>2588578</v>
      </c>
      <c r="H28" s="29">
        <v>2588578</v>
      </c>
      <c r="I28" s="29">
        <v>2588578</v>
      </c>
      <c r="J28" s="29">
        <v>2588578</v>
      </c>
      <c r="K28" s="29">
        <v>0</v>
      </c>
      <c r="L28" s="33"/>
      <c r="M28" s="33"/>
      <c r="N28" s="33"/>
      <c r="O28" s="33"/>
      <c r="P28" s="33"/>
      <c r="Q28" s="34"/>
      <c r="R28" s="34"/>
      <c r="S28" s="34"/>
      <c r="T28" s="34"/>
      <c r="U28" s="29">
        <v>2588578</v>
      </c>
      <c r="V28" s="29">
        <v>2588578</v>
      </c>
      <c r="W28" s="29">
        <v>2588578</v>
      </c>
      <c r="X28" s="29">
        <v>2588578</v>
      </c>
      <c r="Y28" s="33"/>
      <c r="Z28" s="33"/>
      <c r="AA28" s="33"/>
      <c r="AB28" s="33"/>
      <c r="AC28" s="33"/>
      <c r="AD28" s="34"/>
      <c r="AE28" s="34"/>
      <c r="AF28" s="34"/>
      <c r="AG28" s="34"/>
      <c r="AH28" s="34"/>
      <c r="AI28" s="29">
        <v>2588578</v>
      </c>
      <c r="AJ28" s="29">
        <v>2588578</v>
      </c>
      <c r="AK28" s="33"/>
      <c r="AL28" s="33"/>
      <c r="AM28" s="33"/>
      <c r="AN28" s="34"/>
      <c r="AO28" s="34"/>
      <c r="AP28" s="34"/>
      <c r="AQ28" s="34"/>
      <c r="AR28" s="29">
        <v>2588578</v>
      </c>
      <c r="AS28" s="29">
        <v>2588578</v>
      </c>
      <c r="AT28" s="33"/>
      <c r="AU28" s="33"/>
      <c r="AV28" s="34"/>
      <c r="AW28" s="34"/>
      <c r="AX28" s="34"/>
      <c r="AY28" s="29">
        <v>2588578</v>
      </c>
      <c r="AZ28" s="29">
        <v>2588578</v>
      </c>
      <c r="BA28" s="33"/>
      <c r="BB28" s="33"/>
      <c r="BC28" s="34"/>
      <c r="BD28" s="34"/>
    </row>
    <row r="29" spans="1:56" x14ac:dyDescent="0.3">
      <c r="A29" s="43"/>
      <c r="B29" s="43"/>
      <c r="C29" s="10" t="s">
        <v>102</v>
      </c>
      <c r="D29" s="3" t="s">
        <v>74</v>
      </c>
      <c r="E29" s="3" t="s">
        <v>113</v>
      </c>
      <c r="F29" s="3" t="s">
        <v>76</v>
      </c>
      <c r="G29" s="29">
        <v>129428.9</v>
      </c>
      <c r="H29" s="29">
        <v>129428.9</v>
      </c>
      <c r="I29" s="29">
        <v>129428.9</v>
      </c>
      <c r="J29" s="29">
        <v>129428.9</v>
      </c>
      <c r="K29" s="29">
        <v>129428.9</v>
      </c>
      <c r="L29" s="33"/>
      <c r="M29" s="33"/>
      <c r="N29" s="33"/>
      <c r="O29" s="33"/>
      <c r="P29" s="33"/>
      <c r="Q29" s="34"/>
      <c r="R29" s="34"/>
      <c r="S29" s="34"/>
      <c r="T29" s="34"/>
      <c r="U29" s="29">
        <v>129428.9</v>
      </c>
      <c r="V29" s="29">
        <v>129428.9</v>
      </c>
      <c r="W29" s="29">
        <v>129428.9</v>
      </c>
      <c r="X29" s="29">
        <v>129428.9</v>
      </c>
      <c r="Y29" s="33"/>
      <c r="Z29" s="33"/>
      <c r="AA29" s="33"/>
      <c r="AB29" s="33"/>
      <c r="AC29" s="33"/>
      <c r="AD29" s="34"/>
      <c r="AE29" s="34"/>
      <c r="AF29" s="34"/>
      <c r="AG29" s="34"/>
      <c r="AH29" s="34"/>
      <c r="AI29" s="29">
        <v>129428.9</v>
      </c>
      <c r="AJ29" s="29">
        <v>129428.9</v>
      </c>
      <c r="AK29" s="33"/>
      <c r="AL29" s="33"/>
      <c r="AM29" s="33"/>
      <c r="AN29" s="34"/>
      <c r="AO29" s="34"/>
      <c r="AP29" s="34"/>
      <c r="AQ29" s="34"/>
      <c r="AR29" s="29">
        <v>129428.9</v>
      </c>
      <c r="AS29" s="29">
        <v>129428.9</v>
      </c>
      <c r="AT29" s="33"/>
      <c r="AU29" s="33"/>
      <c r="AV29" s="34"/>
      <c r="AW29" s="34"/>
      <c r="AX29" s="34"/>
      <c r="AY29" s="29">
        <v>129428.9</v>
      </c>
      <c r="AZ29" s="29">
        <v>129428.9</v>
      </c>
      <c r="BA29" s="33"/>
      <c r="BB29" s="33"/>
      <c r="BC29" s="34"/>
      <c r="BD29" s="34"/>
    </row>
    <row r="30" spans="1:56" x14ac:dyDescent="0.3">
      <c r="A30" s="43"/>
      <c r="B30" s="43"/>
      <c r="C30" s="10" t="s">
        <v>102</v>
      </c>
      <c r="D30" s="3" t="s">
        <v>77</v>
      </c>
      <c r="E30" s="3" t="s">
        <v>114</v>
      </c>
      <c r="F30" s="3" t="s">
        <v>76</v>
      </c>
      <c r="G30" s="29">
        <v>242494.82652100001</v>
      </c>
      <c r="H30" s="29">
        <v>242494.82652100001</v>
      </c>
      <c r="I30" s="29">
        <v>242494.82652100001</v>
      </c>
      <c r="J30" s="29">
        <v>242494.82652100001</v>
      </c>
      <c r="K30" s="29">
        <v>0</v>
      </c>
      <c r="L30" s="33"/>
      <c r="M30" s="33"/>
      <c r="N30" s="33"/>
      <c r="O30" s="33"/>
      <c r="P30" s="33"/>
      <c r="Q30" s="34"/>
      <c r="R30" s="34"/>
      <c r="S30" s="34"/>
      <c r="T30" s="34"/>
      <c r="U30" s="29">
        <v>242494.82652100001</v>
      </c>
      <c r="V30" s="29">
        <v>242494.82652100001</v>
      </c>
      <c r="W30" s="29">
        <v>242494.82652100001</v>
      </c>
      <c r="X30" s="29">
        <v>242494.82652100001</v>
      </c>
      <c r="Y30" s="33"/>
      <c r="Z30" s="33"/>
      <c r="AA30" s="33"/>
      <c r="AB30" s="33"/>
      <c r="AC30" s="33"/>
      <c r="AD30" s="34"/>
      <c r="AE30" s="34"/>
      <c r="AF30" s="34"/>
      <c r="AG30" s="34"/>
      <c r="AH30" s="34"/>
      <c r="AI30" s="29">
        <v>242494.82652100001</v>
      </c>
      <c r="AJ30" s="29">
        <v>242494.82652100001</v>
      </c>
      <c r="AK30" s="33"/>
      <c r="AL30" s="33"/>
      <c r="AM30" s="33"/>
      <c r="AN30" s="34"/>
      <c r="AO30" s="34"/>
      <c r="AP30" s="34"/>
      <c r="AQ30" s="34"/>
      <c r="AR30" s="29">
        <v>259275.13686900001</v>
      </c>
      <c r="AS30" s="29">
        <v>259275.13686900001</v>
      </c>
      <c r="AT30" s="33"/>
      <c r="AU30" s="33"/>
      <c r="AV30" s="34"/>
      <c r="AW30" s="34"/>
      <c r="AX30" s="34"/>
      <c r="AY30" s="29">
        <v>302889.75490499998</v>
      </c>
      <c r="AZ30" s="29">
        <v>302889.75490499998</v>
      </c>
      <c r="BA30" s="33"/>
      <c r="BB30" s="33"/>
      <c r="BC30" s="34"/>
      <c r="BD30" s="34"/>
    </row>
    <row r="31" spans="1:56" x14ac:dyDescent="0.3">
      <c r="A31" s="43"/>
      <c r="B31" s="43"/>
      <c r="C31" s="10" t="s">
        <v>102</v>
      </c>
      <c r="D31" s="3" t="s">
        <v>79</v>
      </c>
      <c r="E31" s="3" t="s">
        <v>115</v>
      </c>
      <c r="F31" s="3" t="s">
        <v>73</v>
      </c>
      <c r="G31" s="29">
        <v>6062370.6630199999</v>
      </c>
      <c r="H31" s="29">
        <v>6062370.6630199999</v>
      </c>
      <c r="I31" s="29">
        <v>6062370.6630199999</v>
      </c>
      <c r="J31" s="29">
        <v>6062370.6630199999</v>
      </c>
      <c r="K31" s="29">
        <v>0</v>
      </c>
      <c r="L31" s="33"/>
      <c r="M31" s="33"/>
      <c r="N31" s="33"/>
      <c r="O31" s="33"/>
      <c r="P31" s="33"/>
      <c r="Q31" s="34"/>
      <c r="R31" s="34"/>
      <c r="S31" s="34"/>
      <c r="T31" s="34"/>
      <c r="U31" s="29">
        <v>6062370.6630199999</v>
      </c>
      <c r="V31" s="29">
        <v>6062370.6630199999</v>
      </c>
      <c r="W31" s="29">
        <v>6062370.6630199999</v>
      </c>
      <c r="X31" s="29">
        <v>6062370.6630199999</v>
      </c>
      <c r="Y31" s="33"/>
      <c r="Z31" s="33"/>
      <c r="AA31" s="33"/>
      <c r="AB31" s="33"/>
      <c r="AC31" s="33"/>
      <c r="AD31" s="34"/>
      <c r="AE31" s="34"/>
      <c r="AF31" s="34"/>
      <c r="AG31" s="34"/>
      <c r="AH31" s="34"/>
      <c r="AI31" s="29">
        <v>6062370.6630199999</v>
      </c>
      <c r="AJ31" s="29">
        <v>6062370.6630199999</v>
      </c>
      <c r="AK31" s="33"/>
      <c r="AL31" s="33"/>
      <c r="AM31" s="33"/>
      <c r="AN31" s="34"/>
      <c r="AO31" s="34"/>
      <c r="AP31" s="34"/>
      <c r="AQ31" s="34"/>
      <c r="AR31" s="29">
        <v>6481878.4217250003</v>
      </c>
      <c r="AS31" s="29">
        <v>6481878.4217250003</v>
      </c>
      <c r="AT31" s="33"/>
      <c r="AU31" s="33"/>
      <c r="AV31" s="34"/>
      <c r="AW31" s="34"/>
      <c r="AX31" s="34"/>
      <c r="AY31" s="29">
        <v>7572243.8726270003</v>
      </c>
      <c r="AZ31" s="29">
        <v>7572243.8726270003</v>
      </c>
      <c r="BA31" s="33"/>
      <c r="BB31" s="33"/>
      <c r="BC31" s="34"/>
      <c r="BD31" s="34"/>
    </row>
    <row r="32" spans="1:56" x14ac:dyDescent="0.3">
      <c r="A32" s="43"/>
      <c r="B32" s="43"/>
      <c r="C32" s="10" t="s">
        <v>102</v>
      </c>
      <c r="D32" s="3" t="s">
        <v>81</v>
      </c>
      <c r="E32" s="3" t="s">
        <v>116</v>
      </c>
      <c r="F32" s="3" t="s">
        <v>76</v>
      </c>
      <c r="G32" s="29">
        <v>371923.72652099998</v>
      </c>
      <c r="H32" s="29">
        <v>371923.72652099998</v>
      </c>
      <c r="I32" s="29">
        <v>371923.72652099998</v>
      </c>
      <c r="J32" s="29">
        <v>371923.72652099998</v>
      </c>
      <c r="K32" s="29">
        <v>129428.9</v>
      </c>
      <c r="L32" s="33"/>
      <c r="M32" s="33"/>
      <c r="N32" s="33"/>
      <c r="O32" s="33"/>
      <c r="P32" s="33"/>
      <c r="Q32" s="34"/>
      <c r="R32" s="34"/>
      <c r="S32" s="34"/>
      <c r="T32" s="34"/>
      <c r="U32" s="29">
        <v>371923.72652099998</v>
      </c>
      <c r="V32" s="29">
        <v>371923.72652099998</v>
      </c>
      <c r="W32" s="29">
        <v>371923.72652099998</v>
      </c>
      <c r="X32" s="29">
        <v>371923.72652099998</v>
      </c>
      <c r="Y32" s="33"/>
      <c r="Z32" s="33"/>
      <c r="AA32" s="33"/>
      <c r="AB32" s="33"/>
      <c r="AC32" s="33"/>
      <c r="AD32" s="34"/>
      <c r="AE32" s="34"/>
      <c r="AF32" s="34"/>
      <c r="AG32" s="34"/>
      <c r="AH32" s="34"/>
      <c r="AI32" s="29">
        <v>371923.72652099998</v>
      </c>
      <c r="AJ32" s="29">
        <v>371923.72652099998</v>
      </c>
      <c r="AK32" s="33"/>
      <c r="AL32" s="33"/>
      <c r="AM32" s="33"/>
      <c r="AN32" s="34"/>
      <c r="AO32" s="34"/>
      <c r="AP32" s="34"/>
      <c r="AQ32" s="34"/>
      <c r="AR32" s="29">
        <v>388704.036869</v>
      </c>
      <c r="AS32" s="29">
        <v>388704.036869</v>
      </c>
      <c r="AT32" s="33"/>
      <c r="AU32" s="33"/>
      <c r="AV32" s="34"/>
      <c r="AW32" s="34"/>
      <c r="AX32" s="34"/>
      <c r="AY32" s="29">
        <v>432318.654905</v>
      </c>
      <c r="AZ32" s="29">
        <v>432318.654905</v>
      </c>
      <c r="BA32" s="33"/>
      <c r="BB32" s="33"/>
      <c r="BC32" s="34"/>
      <c r="BD32" s="34"/>
    </row>
    <row r="33" spans="1:56" x14ac:dyDescent="0.3">
      <c r="A33" s="43"/>
      <c r="B33" s="44"/>
      <c r="C33" s="12"/>
      <c r="D33" s="7"/>
      <c r="E33" s="7"/>
      <c r="F33" s="7"/>
      <c r="G33" s="32"/>
      <c r="H33" s="32"/>
      <c r="I33" s="32"/>
      <c r="J33" s="32"/>
      <c r="K33" s="32"/>
      <c r="L33" s="33"/>
      <c r="M33" s="33"/>
      <c r="N33" s="33"/>
      <c r="O33" s="33"/>
      <c r="P33" s="33"/>
      <c r="Q33" s="34"/>
      <c r="R33" s="34"/>
      <c r="S33" s="34"/>
      <c r="T33" s="34"/>
      <c r="U33" s="32"/>
      <c r="V33" s="32"/>
      <c r="W33" s="32"/>
      <c r="X33" s="32"/>
      <c r="Y33" s="33"/>
      <c r="Z33" s="33"/>
      <c r="AA33" s="33"/>
      <c r="AB33" s="33"/>
      <c r="AC33" s="33"/>
      <c r="AD33" s="34"/>
      <c r="AE33" s="34"/>
      <c r="AF33" s="34"/>
      <c r="AG33" s="34"/>
      <c r="AH33" s="34"/>
      <c r="AI33" s="32"/>
      <c r="AJ33" s="32"/>
      <c r="AK33" s="33"/>
      <c r="AL33" s="33"/>
      <c r="AM33" s="33"/>
      <c r="AN33" s="34"/>
      <c r="AO33" s="34"/>
      <c r="AP33" s="34"/>
      <c r="AQ33" s="34"/>
      <c r="AR33" s="32"/>
      <c r="AS33" s="32"/>
      <c r="AT33" s="33"/>
      <c r="AU33" s="33"/>
      <c r="AV33" s="34"/>
      <c r="AW33" s="34"/>
      <c r="AX33" s="34"/>
      <c r="AY33" s="32"/>
      <c r="AZ33" s="32"/>
      <c r="BA33" s="33"/>
      <c r="BB33" s="33"/>
      <c r="BC33" s="34"/>
      <c r="BD33" s="34"/>
    </row>
    <row r="34" spans="1:56" x14ac:dyDescent="0.3">
      <c r="A34" s="43"/>
      <c r="B34" s="42" t="s">
        <v>117</v>
      </c>
      <c r="C34" s="13" t="s">
        <v>118</v>
      </c>
      <c r="D34" s="6" t="s">
        <v>59</v>
      </c>
      <c r="E34" s="6" t="s">
        <v>119</v>
      </c>
      <c r="F34" s="6" t="s">
        <v>86</v>
      </c>
      <c r="G34" s="29">
        <v>186.42077</v>
      </c>
      <c r="H34" s="29">
        <v>186.42077</v>
      </c>
      <c r="I34" s="29">
        <v>186.42077</v>
      </c>
      <c r="J34" s="29">
        <v>186.42077</v>
      </c>
      <c r="K34" s="29">
        <v>186.42077</v>
      </c>
      <c r="L34" s="33"/>
      <c r="M34" s="33"/>
      <c r="N34" s="33"/>
      <c r="O34" s="33"/>
      <c r="P34" s="33"/>
      <c r="Q34" s="34"/>
      <c r="R34" s="34"/>
      <c r="S34" s="34"/>
      <c r="T34" s="34"/>
      <c r="U34" s="29">
        <v>186.42077</v>
      </c>
      <c r="V34" s="29">
        <v>186.42077</v>
      </c>
      <c r="W34" s="29">
        <v>186.42077</v>
      </c>
      <c r="X34" s="29">
        <v>186.42077</v>
      </c>
      <c r="Y34" s="33"/>
      <c r="Z34" s="33"/>
      <c r="AA34" s="33"/>
      <c r="AB34" s="33"/>
      <c r="AC34" s="33"/>
      <c r="AD34" s="34"/>
      <c r="AE34" s="34"/>
      <c r="AF34" s="34"/>
      <c r="AG34" s="34"/>
      <c r="AH34" s="34"/>
      <c r="AI34" s="29">
        <v>186.42077</v>
      </c>
      <c r="AJ34" s="29">
        <v>186.42077</v>
      </c>
      <c r="AK34" s="33"/>
      <c r="AL34" s="33"/>
      <c r="AM34" s="33"/>
      <c r="AN34" s="34"/>
      <c r="AO34" s="34"/>
      <c r="AP34" s="34"/>
      <c r="AQ34" s="34"/>
      <c r="AR34" s="29">
        <v>199.32083299999999</v>
      </c>
      <c r="AS34" s="29">
        <v>199.32083299999999</v>
      </c>
      <c r="AT34" s="33"/>
      <c r="AU34" s="33"/>
      <c r="AV34" s="34"/>
      <c r="AW34" s="34"/>
      <c r="AX34" s="34"/>
      <c r="AY34" s="29">
        <v>232.850087</v>
      </c>
      <c r="AZ34" s="29">
        <v>232.850087</v>
      </c>
      <c r="BA34" s="33"/>
      <c r="BB34" s="33"/>
      <c r="BC34" s="34"/>
      <c r="BD34" s="34"/>
    </row>
    <row r="35" spans="1:56" x14ac:dyDescent="0.3">
      <c r="A35" s="43"/>
      <c r="B35" s="43"/>
      <c r="C35" s="14" t="s">
        <v>118</v>
      </c>
      <c r="D35" s="3" t="s">
        <v>62</v>
      </c>
      <c r="E35" s="3" t="s">
        <v>120</v>
      </c>
      <c r="F35" s="3" t="s">
        <v>121</v>
      </c>
      <c r="G35" s="29">
        <v>56.303711999999997</v>
      </c>
      <c r="H35" s="29">
        <v>56.303711999999997</v>
      </c>
      <c r="I35" s="29">
        <v>56.303711999999997</v>
      </c>
      <c r="J35" s="29">
        <v>56.303711999999997</v>
      </c>
      <c r="K35" s="29">
        <v>56.303711999999997</v>
      </c>
      <c r="L35" s="33"/>
      <c r="M35" s="33"/>
      <c r="N35" s="33"/>
      <c r="O35" s="33"/>
      <c r="P35" s="33"/>
      <c r="Q35" s="34"/>
      <c r="R35" s="34"/>
      <c r="S35" s="34"/>
      <c r="T35" s="34"/>
      <c r="U35" s="29">
        <v>56.303711999999997</v>
      </c>
      <c r="V35" s="29">
        <v>56.303711999999997</v>
      </c>
      <c r="W35" s="29">
        <v>56.303711999999997</v>
      </c>
      <c r="X35" s="29">
        <v>56.303711999999997</v>
      </c>
      <c r="Y35" s="33"/>
      <c r="Z35" s="33"/>
      <c r="AA35" s="33"/>
      <c r="AB35" s="33"/>
      <c r="AC35" s="33"/>
      <c r="AD35" s="34"/>
      <c r="AE35" s="34"/>
      <c r="AF35" s="34"/>
      <c r="AG35" s="34"/>
      <c r="AH35" s="34"/>
      <c r="AI35" s="29">
        <v>56.303711999999997</v>
      </c>
      <c r="AJ35" s="29">
        <v>56.303711999999997</v>
      </c>
      <c r="AK35" s="33"/>
      <c r="AL35" s="33"/>
      <c r="AM35" s="33"/>
      <c r="AN35" s="34"/>
      <c r="AO35" s="34"/>
      <c r="AP35" s="34"/>
      <c r="AQ35" s="34"/>
      <c r="AR35" s="29">
        <v>56.303711999999997</v>
      </c>
      <c r="AS35" s="29">
        <v>56.303711999999997</v>
      </c>
      <c r="AT35" s="33"/>
      <c r="AU35" s="33"/>
      <c r="AV35" s="34"/>
      <c r="AW35" s="34"/>
      <c r="AX35" s="34"/>
      <c r="AY35" s="29">
        <v>56.303711999999997</v>
      </c>
      <c r="AZ35" s="29">
        <v>56.303711999999997</v>
      </c>
      <c r="BA35" s="33"/>
      <c r="BB35" s="33"/>
      <c r="BC35" s="34"/>
      <c r="BD35" s="34"/>
    </row>
    <row r="36" spans="1:56" x14ac:dyDescent="0.3">
      <c r="A36" s="43"/>
      <c r="B36" s="43"/>
      <c r="C36" s="14" t="s">
        <v>118</v>
      </c>
      <c r="D36" s="3" t="s">
        <v>65</v>
      </c>
      <c r="E36" s="3" t="s">
        <v>122</v>
      </c>
      <c r="F36" s="3" t="s">
        <v>67</v>
      </c>
      <c r="G36" s="29">
        <v>493.22051699999997</v>
      </c>
      <c r="H36" s="29">
        <v>493.22051699999997</v>
      </c>
      <c r="I36" s="29">
        <v>493.22051699999997</v>
      </c>
      <c r="J36" s="29">
        <v>493.22051699999997</v>
      </c>
      <c r="K36" s="29">
        <v>493.22051699999997</v>
      </c>
      <c r="L36" s="33"/>
      <c r="M36" s="33"/>
      <c r="N36" s="33"/>
      <c r="O36" s="33"/>
      <c r="P36" s="33"/>
      <c r="Q36" s="34"/>
      <c r="R36" s="34"/>
      <c r="S36" s="34"/>
      <c r="T36" s="34"/>
      <c r="U36" s="29">
        <v>493.22051699999997</v>
      </c>
      <c r="V36" s="29">
        <v>493.22051699999997</v>
      </c>
      <c r="W36" s="29">
        <v>493.22051699999997</v>
      </c>
      <c r="X36" s="29">
        <v>493.22051699999997</v>
      </c>
      <c r="Y36" s="33"/>
      <c r="Z36" s="33"/>
      <c r="AA36" s="33"/>
      <c r="AB36" s="33"/>
      <c r="AC36" s="33"/>
      <c r="AD36" s="34"/>
      <c r="AE36" s="34"/>
      <c r="AF36" s="34"/>
      <c r="AG36" s="34"/>
      <c r="AH36" s="34"/>
      <c r="AI36" s="29">
        <v>493.22051699999997</v>
      </c>
      <c r="AJ36" s="29">
        <v>493.22051699999997</v>
      </c>
      <c r="AK36" s="33"/>
      <c r="AL36" s="33"/>
      <c r="AM36" s="33"/>
      <c r="AN36" s="34"/>
      <c r="AO36" s="34"/>
      <c r="AP36" s="34"/>
      <c r="AQ36" s="34"/>
      <c r="AR36" s="29">
        <v>493.22051699999997</v>
      </c>
      <c r="AS36" s="29">
        <v>493.22051699999997</v>
      </c>
      <c r="AT36" s="33"/>
      <c r="AU36" s="33"/>
      <c r="AV36" s="34"/>
      <c r="AW36" s="34"/>
      <c r="AX36" s="34"/>
      <c r="AY36" s="29">
        <v>493.22051699999997</v>
      </c>
      <c r="AZ36" s="29">
        <v>493.22051699999997</v>
      </c>
      <c r="BA36" s="33"/>
      <c r="BB36" s="33"/>
      <c r="BC36" s="34"/>
      <c r="BD36" s="34"/>
    </row>
    <row r="37" spans="1:56" x14ac:dyDescent="0.3">
      <c r="A37" s="43"/>
      <c r="B37" s="43"/>
      <c r="C37" s="14" t="s">
        <v>118</v>
      </c>
      <c r="D37" s="3" t="s">
        <v>123</v>
      </c>
      <c r="E37" s="3" t="s">
        <v>124</v>
      </c>
      <c r="F37" s="3" t="s">
        <v>110</v>
      </c>
      <c r="G37" s="29">
        <v>2055085.4879999999</v>
      </c>
      <c r="H37" s="29">
        <v>2055085.4879999999</v>
      </c>
      <c r="I37" s="29">
        <v>2055085.4879999999</v>
      </c>
      <c r="J37" s="29">
        <v>2055085.4879999999</v>
      </c>
      <c r="K37" s="29">
        <v>2055085.4879999999</v>
      </c>
      <c r="L37" s="33"/>
      <c r="M37" s="33"/>
      <c r="N37" s="33"/>
      <c r="O37" s="33"/>
      <c r="P37" s="33"/>
      <c r="Q37" s="34"/>
      <c r="R37" s="34"/>
      <c r="S37" s="34"/>
      <c r="T37" s="34"/>
      <c r="U37" s="29">
        <v>2055085.4879999999</v>
      </c>
      <c r="V37" s="29">
        <v>2055085.4879999999</v>
      </c>
      <c r="W37" s="29">
        <v>2055085.4879999999</v>
      </c>
      <c r="X37" s="29">
        <v>2055085.4879999999</v>
      </c>
      <c r="Y37" s="33"/>
      <c r="Z37" s="33"/>
      <c r="AA37" s="33"/>
      <c r="AB37" s="33"/>
      <c r="AC37" s="33"/>
      <c r="AD37" s="34"/>
      <c r="AE37" s="34"/>
      <c r="AF37" s="34"/>
      <c r="AG37" s="34"/>
      <c r="AH37" s="34"/>
      <c r="AI37" s="29">
        <v>2055085.4879999999</v>
      </c>
      <c r="AJ37" s="29">
        <v>2055085.4879999999</v>
      </c>
      <c r="AK37" s="33"/>
      <c r="AL37" s="33"/>
      <c r="AM37" s="33"/>
      <c r="AN37" s="34"/>
      <c r="AO37" s="34"/>
      <c r="AP37" s="34"/>
      <c r="AQ37" s="34"/>
      <c r="AR37" s="29">
        <v>2055085.4879999999</v>
      </c>
      <c r="AS37" s="29">
        <v>2055085.4879999999</v>
      </c>
      <c r="AT37" s="33"/>
      <c r="AU37" s="33"/>
      <c r="AV37" s="34"/>
      <c r="AW37" s="34"/>
      <c r="AX37" s="34"/>
      <c r="AY37" s="29">
        <v>2055085.4879999999</v>
      </c>
      <c r="AZ37" s="29">
        <v>2055085.4879999999</v>
      </c>
      <c r="BA37" s="33"/>
      <c r="BB37" s="33"/>
      <c r="BC37" s="34"/>
      <c r="BD37" s="34"/>
    </row>
    <row r="38" spans="1:56" x14ac:dyDescent="0.3">
      <c r="A38" s="43"/>
      <c r="B38" s="43"/>
      <c r="C38" s="14" t="s">
        <v>118</v>
      </c>
      <c r="D38" s="3" t="s">
        <v>71</v>
      </c>
      <c r="E38" s="3" t="s">
        <v>125</v>
      </c>
      <c r="F38" s="3" t="s">
        <v>73</v>
      </c>
      <c r="G38" s="29">
        <v>466851.61200000002</v>
      </c>
      <c r="H38" s="29">
        <v>466851.61200000002</v>
      </c>
      <c r="I38" s="29">
        <v>466851.61200000002</v>
      </c>
      <c r="J38" s="29">
        <v>466851.61200000002</v>
      </c>
      <c r="K38" s="29">
        <v>466851.61200000002</v>
      </c>
      <c r="L38" s="33"/>
      <c r="M38" s="33"/>
      <c r="N38" s="33"/>
      <c r="O38" s="33"/>
      <c r="P38" s="33"/>
      <c r="Q38" s="34"/>
      <c r="R38" s="34"/>
      <c r="S38" s="34"/>
      <c r="T38" s="34"/>
      <c r="U38" s="29">
        <v>466851.61200000002</v>
      </c>
      <c r="V38" s="29">
        <v>466851.61200000002</v>
      </c>
      <c r="W38" s="29">
        <v>466851.61200000002</v>
      </c>
      <c r="X38" s="29">
        <v>466851.61200000002</v>
      </c>
      <c r="Y38" s="33"/>
      <c r="Z38" s="33"/>
      <c r="AA38" s="33"/>
      <c r="AB38" s="33"/>
      <c r="AC38" s="33"/>
      <c r="AD38" s="34"/>
      <c r="AE38" s="34"/>
      <c r="AF38" s="34"/>
      <c r="AG38" s="34"/>
      <c r="AH38" s="34"/>
      <c r="AI38" s="29">
        <v>466851.61200000002</v>
      </c>
      <c r="AJ38" s="29">
        <v>466851.61200000002</v>
      </c>
      <c r="AK38" s="33"/>
      <c r="AL38" s="33"/>
      <c r="AM38" s="33"/>
      <c r="AN38" s="34"/>
      <c r="AO38" s="34"/>
      <c r="AP38" s="34"/>
      <c r="AQ38" s="34"/>
      <c r="AR38" s="29">
        <v>466851.61200000002</v>
      </c>
      <c r="AS38" s="29">
        <v>466851.61200000002</v>
      </c>
      <c r="AT38" s="33"/>
      <c r="AU38" s="33"/>
      <c r="AV38" s="34"/>
      <c r="AW38" s="34"/>
      <c r="AX38" s="34"/>
      <c r="AY38" s="29">
        <v>466851.61200000002</v>
      </c>
      <c r="AZ38" s="29">
        <v>466851.61200000002</v>
      </c>
      <c r="BA38" s="33"/>
      <c r="BB38" s="33"/>
      <c r="BC38" s="34"/>
      <c r="BD38" s="34"/>
    </row>
    <row r="39" spans="1:56" x14ac:dyDescent="0.3">
      <c r="A39" s="43"/>
      <c r="B39" s="43"/>
      <c r="C39" s="14" t="s">
        <v>118</v>
      </c>
      <c r="D39" s="3" t="s">
        <v>74</v>
      </c>
      <c r="E39" s="3" t="s">
        <v>126</v>
      </c>
      <c r="F39" s="3" t="s">
        <v>76</v>
      </c>
      <c r="G39" s="29">
        <v>23342.580600000001</v>
      </c>
      <c r="H39" s="29">
        <v>23342.580600000001</v>
      </c>
      <c r="I39" s="29">
        <v>23342.580600000001</v>
      </c>
      <c r="J39" s="29">
        <v>23342.580600000001</v>
      </c>
      <c r="K39" s="29">
        <v>23342.580600000001</v>
      </c>
      <c r="L39" s="33"/>
      <c r="M39" s="33"/>
      <c r="N39" s="33"/>
      <c r="O39" s="33"/>
      <c r="P39" s="33"/>
      <c r="Q39" s="34"/>
      <c r="R39" s="34"/>
      <c r="S39" s="34"/>
      <c r="T39" s="34"/>
      <c r="U39" s="29">
        <v>23342.580600000001</v>
      </c>
      <c r="V39" s="29">
        <v>23342.580600000001</v>
      </c>
      <c r="W39" s="29">
        <v>23342.580600000001</v>
      </c>
      <c r="X39" s="29">
        <v>23342.580600000001</v>
      </c>
      <c r="Y39" s="33"/>
      <c r="Z39" s="33"/>
      <c r="AA39" s="33"/>
      <c r="AB39" s="33"/>
      <c r="AC39" s="33"/>
      <c r="AD39" s="34"/>
      <c r="AE39" s="34"/>
      <c r="AF39" s="34"/>
      <c r="AG39" s="34"/>
      <c r="AH39" s="34"/>
      <c r="AI39" s="29">
        <v>23342.580600000001</v>
      </c>
      <c r="AJ39" s="29">
        <v>23342.580600000001</v>
      </c>
      <c r="AK39" s="33"/>
      <c r="AL39" s="33"/>
      <c r="AM39" s="33"/>
      <c r="AN39" s="34"/>
      <c r="AO39" s="34"/>
      <c r="AP39" s="34"/>
      <c r="AQ39" s="34"/>
      <c r="AR39" s="29">
        <v>23342.580600000001</v>
      </c>
      <c r="AS39" s="29">
        <v>23342.580600000001</v>
      </c>
      <c r="AT39" s="33"/>
      <c r="AU39" s="33"/>
      <c r="AV39" s="34"/>
      <c r="AW39" s="34"/>
      <c r="AX39" s="34"/>
      <c r="AY39" s="29">
        <v>23342.580600000001</v>
      </c>
      <c r="AZ39" s="29">
        <v>23342.580600000001</v>
      </c>
      <c r="BA39" s="33"/>
      <c r="BB39" s="33"/>
      <c r="BC39" s="34"/>
      <c r="BD39" s="34"/>
    </row>
    <row r="40" spans="1:56" x14ac:dyDescent="0.3">
      <c r="A40" s="43"/>
      <c r="B40" s="43"/>
      <c r="C40" s="14" t="s">
        <v>118</v>
      </c>
      <c r="D40" s="3" t="s">
        <v>77</v>
      </c>
      <c r="E40" s="3" t="s">
        <v>127</v>
      </c>
      <c r="F40" s="3" t="s">
        <v>76</v>
      </c>
      <c r="G40" s="29">
        <v>43734.089010999996</v>
      </c>
      <c r="H40" s="29">
        <v>43734.089010999996</v>
      </c>
      <c r="I40" s="29">
        <v>43734.089010999996</v>
      </c>
      <c r="J40" s="29">
        <v>43734.089010999996</v>
      </c>
      <c r="K40" s="29">
        <v>43734.089010999996</v>
      </c>
      <c r="L40" s="33"/>
      <c r="M40" s="33"/>
      <c r="N40" s="33"/>
      <c r="O40" s="33"/>
      <c r="P40" s="33"/>
      <c r="Q40" s="34"/>
      <c r="R40" s="34"/>
      <c r="S40" s="34"/>
      <c r="T40" s="34"/>
      <c r="U40" s="29">
        <v>43734.089010999996</v>
      </c>
      <c r="V40" s="29">
        <v>43734.089010999996</v>
      </c>
      <c r="W40" s="29">
        <v>43734.089010999996</v>
      </c>
      <c r="X40" s="29">
        <v>43734.089010999996</v>
      </c>
      <c r="Y40" s="33"/>
      <c r="Z40" s="33"/>
      <c r="AA40" s="33"/>
      <c r="AB40" s="33"/>
      <c r="AC40" s="33"/>
      <c r="AD40" s="34"/>
      <c r="AE40" s="34"/>
      <c r="AF40" s="34"/>
      <c r="AG40" s="34"/>
      <c r="AH40" s="34"/>
      <c r="AI40" s="29">
        <v>43734.089010999996</v>
      </c>
      <c r="AJ40" s="29">
        <v>43734.089010999996</v>
      </c>
      <c r="AK40" s="33"/>
      <c r="AL40" s="33"/>
      <c r="AM40" s="33"/>
      <c r="AN40" s="34"/>
      <c r="AO40" s="34"/>
      <c r="AP40" s="34"/>
      <c r="AQ40" s="34"/>
      <c r="AR40" s="29">
        <v>46760.428157000002</v>
      </c>
      <c r="AS40" s="29">
        <v>46760.428157000002</v>
      </c>
      <c r="AT40" s="33"/>
      <c r="AU40" s="33"/>
      <c r="AV40" s="34"/>
      <c r="AW40" s="34"/>
      <c r="AX40" s="34"/>
      <c r="AY40" s="29">
        <v>54626.350967999999</v>
      </c>
      <c r="AZ40" s="29">
        <v>54626.350967999999</v>
      </c>
      <c r="BA40" s="33"/>
      <c r="BB40" s="33"/>
      <c r="BC40" s="34"/>
      <c r="BD40" s="34"/>
    </row>
    <row r="41" spans="1:56" x14ac:dyDescent="0.3">
      <c r="A41" s="43"/>
      <c r="B41" s="43"/>
      <c r="C41" s="14" t="s">
        <v>118</v>
      </c>
      <c r="D41" s="3" t="s">
        <v>79</v>
      </c>
      <c r="E41" s="3" t="s">
        <v>128</v>
      </c>
      <c r="F41" s="3" t="s">
        <v>73</v>
      </c>
      <c r="G41" s="29">
        <v>1093352.225265</v>
      </c>
      <c r="H41" s="29">
        <v>1093352.225265</v>
      </c>
      <c r="I41" s="29">
        <v>1093352.225265</v>
      </c>
      <c r="J41" s="29">
        <v>1093352.225265</v>
      </c>
      <c r="K41" s="29">
        <v>1093352.225265</v>
      </c>
      <c r="L41" s="33"/>
      <c r="M41" s="33"/>
      <c r="N41" s="33"/>
      <c r="O41" s="33"/>
      <c r="P41" s="33"/>
      <c r="Q41" s="34"/>
      <c r="R41" s="34"/>
      <c r="S41" s="34"/>
      <c r="T41" s="34"/>
      <c r="U41" s="29">
        <v>1093352.225265</v>
      </c>
      <c r="V41" s="29">
        <v>1093352.225265</v>
      </c>
      <c r="W41" s="29">
        <v>1093352.225265</v>
      </c>
      <c r="X41" s="29">
        <v>1093352.225265</v>
      </c>
      <c r="Y41" s="33"/>
      <c r="Z41" s="33"/>
      <c r="AA41" s="33"/>
      <c r="AB41" s="33"/>
      <c r="AC41" s="33"/>
      <c r="AD41" s="34"/>
      <c r="AE41" s="34"/>
      <c r="AF41" s="34"/>
      <c r="AG41" s="34"/>
      <c r="AH41" s="34"/>
      <c r="AI41" s="29">
        <v>1093352.225265</v>
      </c>
      <c r="AJ41" s="29">
        <v>1093352.225265</v>
      </c>
      <c r="AK41" s="33"/>
      <c r="AL41" s="33"/>
      <c r="AM41" s="33"/>
      <c r="AN41" s="34"/>
      <c r="AO41" s="34"/>
      <c r="AP41" s="34"/>
      <c r="AQ41" s="34"/>
      <c r="AR41" s="29">
        <v>1169010.7039350001</v>
      </c>
      <c r="AS41" s="29">
        <v>1169010.7039350001</v>
      </c>
      <c r="AT41" s="33"/>
      <c r="AU41" s="33"/>
      <c r="AV41" s="34"/>
      <c r="AW41" s="34"/>
      <c r="AX41" s="34"/>
      <c r="AY41" s="29">
        <v>1365658.7741970001</v>
      </c>
      <c r="AZ41" s="29">
        <v>1365658.7741970001</v>
      </c>
      <c r="BA41" s="33"/>
      <c r="BB41" s="33"/>
      <c r="BC41" s="34"/>
      <c r="BD41" s="34"/>
    </row>
    <row r="42" spans="1:56" x14ac:dyDescent="0.3">
      <c r="A42" s="43"/>
      <c r="B42" s="43"/>
      <c r="C42" s="14" t="s">
        <v>118</v>
      </c>
      <c r="D42" s="3" t="s">
        <v>81</v>
      </c>
      <c r="E42" s="3" t="s">
        <v>129</v>
      </c>
      <c r="F42" s="3" t="s">
        <v>76</v>
      </c>
      <c r="G42" s="29">
        <v>67076.669611000005</v>
      </c>
      <c r="H42" s="29">
        <v>67076.669611000005</v>
      </c>
      <c r="I42" s="29">
        <v>67076.669611000005</v>
      </c>
      <c r="J42" s="29">
        <v>67076.669611000005</v>
      </c>
      <c r="K42" s="29">
        <v>67076.669611000005</v>
      </c>
      <c r="L42" s="33"/>
      <c r="M42" s="33"/>
      <c r="N42" s="33"/>
      <c r="O42" s="33"/>
      <c r="P42" s="33"/>
      <c r="Q42" s="34"/>
      <c r="R42" s="34"/>
      <c r="S42" s="34"/>
      <c r="T42" s="34"/>
      <c r="U42" s="29">
        <v>67076.669611000005</v>
      </c>
      <c r="V42" s="29">
        <v>67076.669611000005</v>
      </c>
      <c r="W42" s="29">
        <v>67076.669611000005</v>
      </c>
      <c r="X42" s="29">
        <v>67076.669611000005</v>
      </c>
      <c r="Y42" s="33"/>
      <c r="Z42" s="33"/>
      <c r="AA42" s="33"/>
      <c r="AB42" s="33"/>
      <c r="AC42" s="33"/>
      <c r="AD42" s="34"/>
      <c r="AE42" s="34"/>
      <c r="AF42" s="34"/>
      <c r="AG42" s="34"/>
      <c r="AH42" s="34"/>
      <c r="AI42" s="29">
        <v>67076.669611000005</v>
      </c>
      <c r="AJ42" s="29">
        <v>67076.669611000005</v>
      </c>
      <c r="AK42" s="33"/>
      <c r="AL42" s="33"/>
      <c r="AM42" s="33"/>
      <c r="AN42" s="34"/>
      <c r="AO42" s="34"/>
      <c r="AP42" s="34"/>
      <c r="AQ42" s="34"/>
      <c r="AR42" s="29">
        <v>70103.008757000003</v>
      </c>
      <c r="AS42" s="29">
        <v>70103.008757000003</v>
      </c>
      <c r="AT42" s="33"/>
      <c r="AU42" s="33"/>
      <c r="AV42" s="34"/>
      <c r="AW42" s="34"/>
      <c r="AX42" s="34"/>
      <c r="AY42" s="29">
        <v>77968.931568</v>
      </c>
      <c r="AZ42" s="29">
        <v>77968.931568</v>
      </c>
      <c r="BA42" s="33"/>
      <c r="BB42" s="33"/>
      <c r="BC42" s="34"/>
      <c r="BD42" s="34"/>
    </row>
    <row r="43" spans="1:56" x14ac:dyDescent="0.3">
      <c r="A43" s="43"/>
      <c r="B43" s="44"/>
      <c r="C43" s="15"/>
      <c r="D43" s="7"/>
      <c r="E43" s="7"/>
      <c r="F43" s="7"/>
      <c r="G43" s="32"/>
      <c r="H43" s="32"/>
      <c r="I43" s="32"/>
      <c r="J43" s="32"/>
      <c r="K43" s="32"/>
      <c r="L43" s="33"/>
      <c r="M43" s="33"/>
      <c r="N43" s="33"/>
      <c r="O43" s="33"/>
      <c r="P43" s="33"/>
      <c r="Q43" s="34"/>
      <c r="R43" s="34"/>
      <c r="S43" s="34"/>
      <c r="T43" s="34"/>
      <c r="U43" s="32"/>
      <c r="V43" s="32"/>
      <c r="W43" s="32"/>
      <c r="X43" s="32"/>
      <c r="Y43" s="33"/>
      <c r="Z43" s="33"/>
      <c r="AA43" s="33"/>
      <c r="AB43" s="33"/>
      <c r="AC43" s="33"/>
      <c r="AD43" s="34"/>
      <c r="AE43" s="34"/>
      <c r="AF43" s="34"/>
      <c r="AG43" s="34"/>
      <c r="AH43" s="34"/>
      <c r="AI43" s="32"/>
      <c r="AJ43" s="32"/>
      <c r="AK43" s="33"/>
      <c r="AL43" s="33"/>
      <c r="AM43" s="33"/>
      <c r="AN43" s="34"/>
      <c r="AO43" s="34"/>
      <c r="AP43" s="34"/>
      <c r="AQ43" s="34"/>
      <c r="AR43" s="32"/>
      <c r="AS43" s="32"/>
      <c r="AT43" s="33"/>
      <c r="AU43" s="33"/>
      <c r="AV43" s="34"/>
      <c r="AW43" s="34"/>
      <c r="AX43" s="34"/>
      <c r="AY43" s="32"/>
      <c r="AZ43" s="32"/>
      <c r="BA43" s="33"/>
      <c r="BB43" s="33"/>
      <c r="BC43" s="34"/>
      <c r="BD43" s="34"/>
    </row>
    <row r="44" spans="1:56" x14ac:dyDescent="0.3">
      <c r="A44" s="43"/>
      <c r="B44" s="46" t="s">
        <v>130</v>
      </c>
      <c r="C44" s="11" t="s">
        <v>131</v>
      </c>
      <c r="D44" s="6" t="s">
        <v>59</v>
      </c>
      <c r="E44" s="6" t="s">
        <v>132</v>
      </c>
      <c r="F44" s="6" t="s">
        <v>86</v>
      </c>
      <c r="G44" s="32"/>
      <c r="H44" s="32"/>
      <c r="I44" s="32"/>
      <c r="J44" s="32"/>
      <c r="K44" s="32"/>
      <c r="L44" s="30">
        <v>1748.1569850000001</v>
      </c>
      <c r="M44" s="30">
        <v>1748.1569850000001</v>
      </c>
      <c r="N44" s="30">
        <v>1748.1569850000001</v>
      </c>
      <c r="O44" s="30">
        <v>1748.1569850000001</v>
      </c>
      <c r="P44" s="30">
        <v>0</v>
      </c>
      <c r="Q44" s="34"/>
      <c r="R44" s="34"/>
      <c r="S44" s="34"/>
      <c r="T44" s="34"/>
      <c r="U44" s="32"/>
      <c r="V44" s="32"/>
      <c r="W44" s="32"/>
      <c r="X44" s="32"/>
      <c r="Y44" s="30">
        <v>1748.1569850000001</v>
      </c>
      <c r="Z44" s="30">
        <v>1748.1569850000001</v>
      </c>
      <c r="AA44" s="30">
        <v>1748.1569850000001</v>
      </c>
      <c r="AB44" s="30">
        <v>1748.1569850000001</v>
      </c>
      <c r="AC44" s="30">
        <v>0</v>
      </c>
      <c r="AD44" s="34"/>
      <c r="AE44" s="34"/>
      <c r="AF44" s="34"/>
      <c r="AG44" s="34"/>
      <c r="AH44" s="34"/>
      <c r="AI44" s="32"/>
      <c r="AJ44" s="32"/>
      <c r="AK44" s="30">
        <v>1748.1569850000001</v>
      </c>
      <c r="AL44" s="30">
        <v>1748.1569850000001</v>
      </c>
      <c r="AM44" s="30">
        <v>1748.1569850000001</v>
      </c>
      <c r="AN44" s="34"/>
      <c r="AO44" s="34"/>
      <c r="AP44" s="34"/>
      <c r="AQ44" s="34"/>
      <c r="AR44" s="32"/>
      <c r="AS44" s="32"/>
      <c r="AT44" s="30">
        <v>1858.316055</v>
      </c>
      <c r="AU44" s="30">
        <v>1858.316055</v>
      </c>
      <c r="AV44" s="34"/>
      <c r="AW44" s="34"/>
      <c r="AX44" s="34"/>
      <c r="AY44" s="32"/>
      <c r="AZ44" s="32"/>
      <c r="BA44" s="30">
        <v>2145.7319429999998</v>
      </c>
      <c r="BB44" s="30">
        <v>2145.7319429999998</v>
      </c>
      <c r="BC44" s="34"/>
      <c r="BD44" s="34"/>
    </row>
    <row r="45" spans="1:56" x14ac:dyDescent="0.3">
      <c r="A45" s="43"/>
      <c r="B45" s="43"/>
      <c r="C45" s="10" t="s">
        <v>131</v>
      </c>
      <c r="D45" s="3" t="s">
        <v>133</v>
      </c>
      <c r="E45" s="3" t="s">
        <v>134</v>
      </c>
      <c r="F45" s="3" t="s">
        <v>135</v>
      </c>
      <c r="G45" s="32"/>
      <c r="H45" s="32"/>
      <c r="I45" s="32"/>
      <c r="J45" s="32"/>
      <c r="K45" s="32"/>
      <c r="L45" s="30">
        <v>2500104</v>
      </c>
      <c r="M45" s="30">
        <v>2500104</v>
      </c>
      <c r="N45" s="30">
        <v>2500104</v>
      </c>
      <c r="O45" s="30">
        <v>2500104</v>
      </c>
      <c r="P45" s="30">
        <v>2500104</v>
      </c>
      <c r="Q45" s="34"/>
      <c r="R45" s="34"/>
      <c r="S45" s="34"/>
      <c r="T45" s="34"/>
      <c r="U45" s="32"/>
      <c r="V45" s="32"/>
      <c r="W45" s="32"/>
      <c r="X45" s="32"/>
      <c r="Y45" s="30">
        <v>2500104</v>
      </c>
      <c r="Z45" s="30">
        <v>2500104</v>
      </c>
      <c r="AA45" s="30">
        <v>2500104</v>
      </c>
      <c r="AB45" s="30">
        <v>2500104</v>
      </c>
      <c r="AC45" s="30">
        <v>2500104</v>
      </c>
      <c r="AD45" s="34"/>
      <c r="AE45" s="34"/>
      <c r="AF45" s="34"/>
      <c r="AG45" s="34"/>
      <c r="AH45" s="34"/>
      <c r="AI45" s="32"/>
      <c r="AJ45" s="32"/>
      <c r="AK45" s="30">
        <v>2500104</v>
      </c>
      <c r="AL45" s="30">
        <v>2500104</v>
      </c>
      <c r="AM45" s="30">
        <v>2500104</v>
      </c>
      <c r="AN45" s="34"/>
      <c r="AO45" s="34"/>
      <c r="AP45" s="34"/>
      <c r="AQ45" s="34"/>
      <c r="AR45" s="32"/>
      <c r="AS45" s="32"/>
      <c r="AT45" s="30">
        <v>2500104</v>
      </c>
      <c r="AU45" s="30">
        <v>2500104</v>
      </c>
      <c r="AV45" s="34"/>
      <c r="AW45" s="34"/>
      <c r="AX45" s="34"/>
      <c r="AY45" s="32"/>
      <c r="AZ45" s="32"/>
      <c r="BA45" s="30">
        <v>2500104</v>
      </c>
      <c r="BB45" s="30">
        <v>2500104</v>
      </c>
      <c r="BC45" s="34"/>
      <c r="BD45" s="34"/>
    </row>
    <row r="46" spans="1:56" x14ac:dyDescent="0.3">
      <c r="A46" s="43"/>
      <c r="B46" s="43"/>
      <c r="C46" s="10" t="s">
        <v>131</v>
      </c>
      <c r="D46" s="3" t="s">
        <v>136</v>
      </c>
      <c r="E46" s="3" t="s">
        <v>137</v>
      </c>
      <c r="F46" s="3" t="s">
        <v>138</v>
      </c>
      <c r="G46" s="32"/>
      <c r="H46" s="32"/>
      <c r="I46" s="32"/>
      <c r="J46" s="32"/>
      <c r="K46" s="32"/>
      <c r="L46" s="30">
        <v>975040.56</v>
      </c>
      <c r="M46" s="30">
        <v>975040.56</v>
      </c>
      <c r="N46" s="30">
        <v>975040.56</v>
      </c>
      <c r="O46" s="30">
        <v>975040.56</v>
      </c>
      <c r="P46" s="30">
        <v>975040.56</v>
      </c>
      <c r="Q46" s="34"/>
      <c r="R46" s="34"/>
      <c r="S46" s="34"/>
      <c r="T46" s="34"/>
      <c r="U46" s="32"/>
      <c r="V46" s="32"/>
      <c r="W46" s="32"/>
      <c r="X46" s="32"/>
      <c r="Y46" s="30">
        <v>975040.56</v>
      </c>
      <c r="Z46" s="30">
        <v>975040.56</v>
      </c>
      <c r="AA46" s="30">
        <v>975040.56</v>
      </c>
      <c r="AB46" s="30">
        <v>975040.56</v>
      </c>
      <c r="AC46" s="30">
        <v>975040.56</v>
      </c>
      <c r="AD46" s="34"/>
      <c r="AE46" s="34"/>
      <c r="AF46" s="34"/>
      <c r="AG46" s="34"/>
      <c r="AH46" s="34"/>
      <c r="AI46" s="32"/>
      <c r="AJ46" s="32"/>
      <c r="AK46" s="30">
        <v>975040.56</v>
      </c>
      <c r="AL46" s="30">
        <v>975040.56</v>
      </c>
      <c r="AM46" s="30">
        <v>975040.56</v>
      </c>
      <c r="AN46" s="34"/>
      <c r="AO46" s="34"/>
      <c r="AP46" s="34"/>
      <c r="AQ46" s="34"/>
      <c r="AR46" s="32"/>
      <c r="AS46" s="32"/>
      <c r="AT46" s="30">
        <v>975040.56</v>
      </c>
      <c r="AU46" s="30">
        <v>975040.56</v>
      </c>
      <c r="AV46" s="34"/>
      <c r="AW46" s="34"/>
      <c r="AX46" s="34"/>
      <c r="AY46" s="32"/>
      <c r="AZ46" s="32"/>
      <c r="BA46" s="30">
        <v>975040.56</v>
      </c>
      <c r="BB46" s="30">
        <v>975040.56</v>
      </c>
      <c r="BC46" s="34"/>
      <c r="BD46" s="34"/>
    </row>
    <row r="47" spans="1:56" x14ac:dyDescent="0.3">
      <c r="A47" s="43"/>
      <c r="B47" s="43"/>
      <c r="C47" s="10" t="s">
        <v>131</v>
      </c>
      <c r="D47" s="3" t="s">
        <v>90</v>
      </c>
      <c r="E47" s="3" t="s">
        <v>139</v>
      </c>
      <c r="F47" s="5" t="s">
        <v>70</v>
      </c>
      <c r="G47" s="32"/>
      <c r="H47" s="32"/>
      <c r="I47" s="32"/>
      <c r="J47" s="32"/>
      <c r="K47" s="32"/>
      <c r="L47" s="30">
        <v>1575065.52</v>
      </c>
      <c r="M47" s="30">
        <v>1575065.52</v>
      </c>
      <c r="N47" s="30">
        <v>1575065.52</v>
      </c>
      <c r="O47" s="30">
        <v>1575065.52</v>
      </c>
      <c r="P47" s="30">
        <v>1575065.52</v>
      </c>
      <c r="Q47" s="34"/>
      <c r="R47" s="34"/>
      <c r="S47" s="34"/>
      <c r="T47" s="34"/>
      <c r="U47" s="32"/>
      <c r="V47" s="32"/>
      <c r="W47" s="32"/>
      <c r="X47" s="32"/>
      <c r="Y47" s="30">
        <v>1575065.52</v>
      </c>
      <c r="Z47" s="30">
        <v>1575065.52</v>
      </c>
      <c r="AA47" s="30">
        <v>1575065.52</v>
      </c>
      <c r="AB47" s="30">
        <v>1575065.52</v>
      </c>
      <c r="AC47" s="30">
        <v>1575065.52</v>
      </c>
      <c r="AD47" s="34"/>
      <c r="AE47" s="34"/>
      <c r="AF47" s="34"/>
      <c r="AG47" s="34"/>
      <c r="AH47" s="34"/>
      <c r="AI47" s="32"/>
      <c r="AJ47" s="32"/>
      <c r="AK47" s="30">
        <v>1575065.52</v>
      </c>
      <c r="AL47" s="30">
        <v>1575065.52</v>
      </c>
      <c r="AM47" s="30">
        <v>1575065.52</v>
      </c>
      <c r="AN47" s="34"/>
      <c r="AO47" s="34"/>
      <c r="AP47" s="34"/>
      <c r="AQ47" s="34"/>
      <c r="AR47" s="32"/>
      <c r="AS47" s="32"/>
      <c r="AT47" s="30">
        <v>1575065.52</v>
      </c>
      <c r="AU47" s="30">
        <v>1575065.52</v>
      </c>
      <c r="AV47" s="34"/>
      <c r="AW47" s="34"/>
      <c r="AX47" s="34"/>
      <c r="AY47" s="32"/>
      <c r="AZ47" s="32"/>
      <c r="BA47" s="30">
        <v>1575065.52</v>
      </c>
      <c r="BB47" s="30">
        <v>1575065.52</v>
      </c>
      <c r="BC47" s="34"/>
      <c r="BD47" s="34"/>
    </row>
    <row r="48" spans="1:56" x14ac:dyDescent="0.3">
      <c r="A48" s="43"/>
      <c r="B48" s="43"/>
      <c r="C48" s="10" t="s">
        <v>131</v>
      </c>
      <c r="D48" s="3" t="s">
        <v>92</v>
      </c>
      <c r="E48" s="3" t="s">
        <v>140</v>
      </c>
      <c r="F48" s="3" t="s">
        <v>94</v>
      </c>
      <c r="G48" s="32"/>
      <c r="H48" s="32"/>
      <c r="I48" s="32"/>
      <c r="J48" s="32"/>
      <c r="K48" s="32"/>
      <c r="L48" s="30">
        <v>12150505.439999999</v>
      </c>
      <c r="M48" s="30">
        <v>12150505.439999999</v>
      </c>
      <c r="N48" s="30">
        <v>12150505.439999999</v>
      </c>
      <c r="O48" s="30">
        <v>12150505.439999999</v>
      </c>
      <c r="P48" s="30">
        <v>12150505.439999999</v>
      </c>
      <c r="Q48" s="34"/>
      <c r="R48" s="34"/>
      <c r="S48" s="34"/>
      <c r="T48" s="34"/>
      <c r="U48" s="32"/>
      <c r="V48" s="32"/>
      <c r="W48" s="32"/>
      <c r="X48" s="32"/>
      <c r="Y48" s="30">
        <v>12150505.439999999</v>
      </c>
      <c r="Z48" s="30">
        <v>12150505.439999999</v>
      </c>
      <c r="AA48" s="30">
        <v>12150505.439999999</v>
      </c>
      <c r="AB48" s="30">
        <v>12150505.439999999</v>
      </c>
      <c r="AC48" s="30">
        <v>12150505.439999999</v>
      </c>
      <c r="AD48" s="34"/>
      <c r="AE48" s="34"/>
      <c r="AF48" s="34"/>
      <c r="AG48" s="34"/>
      <c r="AH48" s="34"/>
      <c r="AI48" s="32"/>
      <c r="AJ48" s="32"/>
      <c r="AK48" s="30">
        <v>12150505.439999999</v>
      </c>
      <c r="AL48" s="30">
        <v>12150505.439999999</v>
      </c>
      <c r="AM48" s="30">
        <v>12150505.439999999</v>
      </c>
      <c r="AN48" s="34"/>
      <c r="AO48" s="34"/>
      <c r="AP48" s="34"/>
      <c r="AQ48" s="34"/>
      <c r="AR48" s="32"/>
      <c r="AS48" s="32"/>
      <c r="AT48" s="30">
        <v>12150505.439999999</v>
      </c>
      <c r="AU48" s="30">
        <v>12150505.439999999</v>
      </c>
      <c r="AV48" s="34"/>
      <c r="AW48" s="34"/>
      <c r="AX48" s="34"/>
      <c r="AY48" s="32"/>
      <c r="AZ48" s="32"/>
      <c r="BA48" s="30">
        <v>12150505.439999999</v>
      </c>
      <c r="BB48" s="30">
        <v>12150505.439999999</v>
      </c>
      <c r="BC48" s="34"/>
      <c r="BD48" s="34"/>
    </row>
    <row r="49" spans="1:56" x14ac:dyDescent="0.3">
      <c r="A49" s="43"/>
      <c r="B49" s="43"/>
      <c r="C49" s="10" t="s">
        <v>131</v>
      </c>
      <c r="D49" s="3" t="s">
        <v>65</v>
      </c>
      <c r="E49" s="3" t="s">
        <v>141</v>
      </c>
      <c r="F49" s="3" t="s">
        <v>67</v>
      </c>
      <c r="G49" s="32"/>
      <c r="H49" s="32"/>
      <c r="I49" s="32"/>
      <c r="J49" s="32"/>
      <c r="K49" s="32"/>
      <c r="L49" s="30">
        <v>97479.054959999994</v>
      </c>
      <c r="M49" s="30">
        <v>97479.054959999994</v>
      </c>
      <c r="N49" s="30">
        <v>97479.054959999994</v>
      </c>
      <c r="O49" s="30">
        <v>97479.054959999994</v>
      </c>
      <c r="P49" s="30">
        <v>97479.054999999993</v>
      </c>
      <c r="Q49" s="34"/>
      <c r="R49" s="34"/>
      <c r="S49" s="34"/>
      <c r="T49" s="34"/>
      <c r="U49" s="32"/>
      <c r="V49" s="32"/>
      <c r="W49" s="32"/>
      <c r="X49" s="32"/>
      <c r="Y49" s="30">
        <v>97479.054959999994</v>
      </c>
      <c r="Z49" s="30">
        <v>97479.054959999994</v>
      </c>
      <c r="AA49" s="30">
        <v>97479.054959999994</v>
      </c>
      <c r="AB49" s="30">
        <v>97479.054959999994</v>
      </c>
      <c r="AC49" s="30">
        <v>97479.054959999994</v>
      </c>
      <c r="AD49" s="34"/>
      <c r="AE49" s="34"/>
      <c r="AF49" s="34"/>
      <c r="AG49" s="34"/>
      <c r="AH49" s="34"/>
      <c r="AI49" s="32"/>
      <c r="AJ49" s="32"/>
      <c r="AK49" s="30">
        <v>97479.054959999994</v>
      </c>
      <c r="AL49" s="30">
        <v>97479.054959999994</v>
      </c>
      <c r="AM49" s="30">
        <v>97479.054959999994</v>
      </c>
      <c r="AN49" s="34"/>
      <c r="AO49" s="34"/>
      <c r="AP49" s="34"/>
      <c r="AQ49" s="34"/>
      <c r="AR49" s="32"/>
      <c r="AS49" s="32"/>
      <c r="AT49" s="30">
        <v>97479.054959999994</v>
      </c>
      <c r="AU49" s="30">
        <v>97479.054959999994</v>
      </c>
      <c r="AV49" s="34"/>
      <c r="AW49" s="34"/>
      <c r="AX49" s="34"/>
      <c r="AY49" s="32"/>
      <c r="AZ49" s="32"/>
      <c r="BA49" s="30">
        <v>97479.054959999994</v>
      </c>
      <c r="BB49" s="30">
        <v>97479.054959999994</v>
      </c>
      <c r="BC49" s="34"/>
      <c r="BD49" s="34"/>
    </row>
    <row r="50" spans="1:56" x14ac:dyDescent="0.3">
      <c r="A50" s="43"/>
      <c r="B50" s="43"/>
      <c r="C50" s="10" t="s">
        <v>131</v>
      </c>
      <c r="D50" s="3" t="s">
        <v>71</v>
      </c>
      <c r="E50" s="3" t="s">
        <v>142</v>
      </c>
      <c r="F50" s="3" t="s">
        <v>73</v>
      </c>
      <c r="G50" s="32"/>
      <c r="H50" s="32"/>
      <c r="I50" s="32"/>
      <c r="J50" s="32"/>
      <c r="K50" s="32"/>
      <c r="L50" s="30">
        <v>5285608</v>
      </c>
      <c r="M50" s="30">
        <v>5285608</v>
      </c>
      <c r="N50" s="30">
        <v>5285608</v>
      </c>
      <c r="O50" s="30">
        <v>5285608</v>
      </c>
      <c r="P50" s="30">
        <v>0</v>
      </c>
      <c r="Q50" s="34"/>
      <c r="R50" s="34"/>
      <c r="S50" s="34"/>
      <c r="T50" s="34"/>
      <c r="U50" s="32"/>
      <c r="V50" s="32"/>
      <c r="W50" s="32"/>
      <c r="X50" s="32"/>
      <c r="Y50" s="30">
        <v>5285608</v>
      </c>
      <c r="Z50" s="30">
        <v>5285608</v>
      </c>
      <c r="AA50" s="30">
        <v>5285608</v>
      </c>
      <c r="AB50" s="30">
        <v>5285608</v>
      </c>
      <c r="AC50" s="30">
        <v>0</v>
      </c>
      <c r="AD50" s="34"/>
      <c r="AE50" s="34"/>
      <c r="AF50" s="34"/>
      <c r="AG50" s="34"/>
      <c r="AH50" s="34"/>
      <c r="AI50" s="32"/>
      <c r="AJ50" s="32"/>
      <c r="AK50" s="30">
        <v>5285608</v>
      </c>
      <c r="AL50" s="30">
        <v>5285608</v>
      </c>
      <c r="AM50" s="30">
        <v>5285608</v>
      </c>
      <c r="AN50" s="34"/>
      <c r="AO50" s="34"/>
      <c r="AP50" s="34"/>
      <c r="AQ50" s="34"/>
      <c r="AR50" s="32"/>
      <c r="AS50" s="32"/>
      <c r="AT50" s="30">
        <v>5285608</v>
      </c>
      <c r="AU50" s="30">
        <v>5285608</v>
      </c>
      <c r="AV50" s="34"/>
      <c r="AW50" s="34"/>
      <c r="AX50" s="34"/>
      <c r="AY50" s="32"/>
      <c r="AZ50" s="32"/>
      <c r="BA50" s="30">
        <v>5285608</v>
      </c>
      <c r="BB50" s="30">
        <v>5285608</v>
      </c>
      <c r="BC50" s="34"/>
      <c r="BD50" s="34"/>
    </row>
    <row r="51" spans="1:56" x14ac:dyDescent="0.3">
      <c r="A51" s="43"/>
      <c r="B51" s="43"/>
      <c r="C51" s="10" t="s">
        <v>131</v>
      </c>
      <c r="D51" s="3" t="s">
        <v>74</v>
      </c>
      <c r="E51" s="3" t="s">
        <v>143</v>
      </c>
      <c r="F51" s="3" t="s">
        <v>76</v>
      </c>
      <c r="G51" s="32"/>
      <c r="H51" s="32"/>
      <c r="I51" s="32"/>
      <c r="J51" s="32"/>
      <c r="K51" s="32"/>
      <c r="L51" s="30">
        <v>158568.24</v>
      </c>
      <c r="M51" s="30">
        <v>158568.24</v>
      </c>
      <c r="N51" s="30">
        <v>158568.24</v>
      </c>
      <c r="O51" s="30">
        <v>158568.24</v>
      </c>
      <c r="P51" s="30">
        <v>158568.24</v>
      </c>
      <c r="Q51" s="34"/>
      <c r="R51" s="34"/>
      <c r="S51" s="34"/>
      <c r="T51" s="34"/>
      <c r="U51" s="32"/>
      <c r="V51" s="32"/>
      <c r="W51" s="32"/>
      <c r="X51" s="32"/>
      <c r="Y51" s="30">
        <v>158568.24</v>
      </c>
      <c r="Z51" s="30">
        <v>158568.24</v>
      </c>
      <c r="AA51" s="30">
        <v>158568.24</v>
      </c>
      <c r="AB51" s="30">
        <v>158568.24</v>
      </c>
      <c r="AC51" s="30">
        <v>158568.24</v>
      </c>
      <c r="AD51" s="34"/>
      <c r="AE51" s="34"/>
      <c r="AF51" s="34"/>
      <c r="AG51" s="34"/>
      <c r="AH51" s="34"/>
      <c r="AI51" s="32"/>
      <c r="AJ51" s="32"/>
      <c r="AK51" s="30">
        <v>158568.24</v>
      </c>
      <c r="AL51" s="30">
        <v>158568.24</v>
      </c>
      <c r="AM51" s="30">
        <v>158568.24</v>
      </c>
      <c r="AN51" s="34"/>
      <c r="AO51" s="34"/>
      <c r="AP51" s="34"/>
      <c r="AQ51" s="34"/>
      <c r="AR51" s="32"/>
      <c r="AS51" s="32"/>
      <c r="AT51" s="30">
        <v>158568.24</v>
      </c>
      <c r="AU51" s="30">
        <v>158568.24</v>
      </c>
      <c r="AV51" s="34"/>
      <c r="AW51" s="34"/>
      <c r="AX51" s="34"/>
      <c r="AY51" s="32"/>
      <c r="AZ51" s="32"/>
      <c r="BA51" s="30">
        <v>158568.24</v>
      </c>
      <c r="BB51" s="30">
        <v>158568.24</v>
      </c>
      <c r="BC51" s="34"/>
      <c r="BD51" s="34"/>
    </row>
    <row r="52" spans="1:56" x14ac:dyDescent="0.3">
      <c r="A52" s="43"/>
      <c r="B52" s="43"/>
      <c r="C52" s="10" t="s">
        <v>131</v>
      </c>
      <c r="D52" s="3" t="s">
        <v>77</v>
      </c>
      <c r="E52" s="3" t="s">
        <v>144</v>
      </c>
      <c r="F52" s="3" t="s">
        <v>76</v>
      </c>
      <c r="G52" s="32"/>
      <c r="H52" s="32"/>
      <c r="I52" s="32"/>
      <c r="J52" s="32"/>
      <c r="K52" s="32"/>
      <c r="L52" s="30">
        <v>498924.00345199998</v>
      </c>
      <c r="M52" s="30">
        <v>498924.00345199998</v>
      </c>
      <c r="N52" s="30">
        <v>498924.00345199998</v>
      </c>
      <c r="O52" s="30">
        <v>498924.00345199998</v>
      </c>
      <c r="P52" s="30">
        <v>0</v>
      </c>
      <c r="Q52" s="34"/>
      <c r="R52" s="34"/>
      <c r="S52" s="34"/>
      <c r="T52" s="34"/>
      <c r="U52" s="32"/>
      <c r="V52" s="32"/>
      <c r="W52" s="32"/>
      <c r="X52" s="32"/>
      <c r="Y52" s="30">
        <v>498924.00345199998</v>
      </c>
      <c r="Z52" s="30">
        <v>498924.00345199998</v>
      </c>
      <c r="AA52" s="30">
        <v>498924.00345199998</v>
      </c>
      <c r="AB52" s="30">
        <v>498924.00345199998</v>
      </c>
      <c r="AC52" s="30">
        <v>0</v>
      </c>
      <c r="AD52" s="34"/>
      <c r="AE52" s="34"/>
      <c r="AF52" s="34"/>
      <c r="AG52" s="34"/>
      <c r="AH52" s="34"/>
      <c r="AI52" s="32"/>
      <c r="AJ52" s="32"/>
      <c r="AK52" s="30">
        <v>498924.00345199998</v>
      </c>
      <c r="AL52" s="30">
        <v>498924.00345199998</v>
      </c>
      <c r="AM52" s="30">
        <v>498924.00345199998</v>
      </c>
      <c r="AN52" s="34"/>
      <c r="AO52" s="34"/>
      <c r="AP52" s="34"/>
      <c r="AQ52" s="34"/>
      <c r="AR52" s="32"/>
      <c r="AS52" s="32"/>
      <c r="AT52" s="30">
        <v>530363.40196000005</v>
      </c>
      <c r="AU52" s="30">
        <v>530363.40196000005</v>
      </c>
      <c r="AV52" s="34"/>
      <c r="AW52" s="34"/>
      <c r="AX52" s="34"/>
      <c r="AY52" s="32"/>
      <c r="AZ52" s="32"/>
      <c r="BA52" s="30">
        <v>612391.89648999996</v>
      </c>
      <c r="BB52" s="30">
        <v>612391.89648999996</v>
      </c>
      <c r="BC52" s="34"/>
      <c r="BD52" s="34"/>
    </row>
    <row r="53" spans="1:56" x14ac:dyDescent="0.3">
      <c r="A53" s="43"/>
      <c r="B53" s="43"/>
      <c r="C53" s="10" t="s">
        <v>131</v>
      </c>
      <c r="D53" s="3" t="s">
        <v>79</v>
      </c>
      <c r="E53" s="3" t="s">
        <v>145</v>
      </c>
      <c r="F53" s="3" t="s">
        <v>73</v>
      </c>
      <c r="G53" s="32"/>
      <c r="H53" s="32"/>
      <c r="I53" s="32"/>
      <c r="J53" s="32"/>
      <c r="K53" s="32"/>
      <c r="L53" s="30">
        <v>9978480.0690390002</v>
      </c>
      <c r="M53" s="30">
        <v>9978480.0690390002</v>
      </c>
      <c r="N53" s="30">
        <v>9978480.0690390002</v>
      </c>
      <c r="O53" s="30">
        <v>9978480.0690390002</v>
      </c>
      <c r="P53" s="30">
        <v>0</v>
      </c>
      <c r="Q53" s="34"/>
      <c r="R53" s="34"/>
      <c r="S53" s="34"/>
      <c r="T53" s="34"/>
      <c r="U53" s="32"/>
      <c r="V53" s="32"/>
      <c r="W53" s="32"/>
      <c r="X53" s="32"/>
      <c r="Y53" s="30">
        <v>9978480.0690390002</v>
      </c>
      <c r="Z53" s="30">
        <v>9978480.0690390002</v>
      </c>
      <c r="AA53" s="30">
        <v>9978480.0690390002</v>
      </c>
      <c r="AB53" s="30">
        <v>9978480.0690390002</v>
      </c>
      <c r="AC53" s="30">
        <v>0</v>
      </c>
      <c r="AD53" s="34"/>
      <c r="AE53" s="34"/>
      <c r="AF53" s="34"/>
      <c r="AG53" s="34"/>
      <c r="AH53" s="34"/>
      <c r="AI53" s="32"/>
      <c r="AJ53" s="32"/>
      <c r="AK53" s="30">
        <v>9978480.0690390002</v>
      </c>
      <c r="AL53" s="30">
        <v>9978480.0690390002</v>
      </c>
      <c r="AM53" s="30">
        <v>9978480.0690390002</v>
      </c>
      <c r="AN53" s="34"/>
      <c r="AO53" s="34"/>
      <c r="AP53" s="34"/>
      <c r="AQ53" s="34"/>
      <c r="AR53" s="32"/>
      <c r="AS53" s="32"/>
      <c r="AT53" s="30">
        <v>10607268.039199</v>
      </c>
      <c r="AU53" s="30">
        <v>10607268.039199</v>
      </c>
      <c r="AV53" s="34"/>
      <c r="AW53" s="34"/>
      <c r="AX53" s="34"/>
      <c r="AY53" s="32"/>
      <c r="AZ53" s="32"/>
      <c r="BA53" s="30">
        <v>12247837.929802001</v>
      </c>
      <c r="BB53" s="30">
        <v>12247837.929802001</v>
      </c>
      <c r="BC53" s="34"/>
      <c r="BD53" s="34"/>
    </row>
    <row r="54" spans="1:56" x14ac:dyDescent="0.3">
      <c r="A54" s="43"/>
      <c r="B54" s="43"/>
      <c r="C54" s="10" t="s">
        <v>131</v>
      </c>
      <c r="D54" s="3" t="s">
        <v>81</v>
      </c>
      <c r="E54" s="3" t="s">
        <v>146</v>
      </c>
      <c r="F54" s="3" t="s">
        <v>76</v>
      </c>
      <c r="G54" s="32"/>
      <c r="H54" s="32"/>
      <c r="I54" s="32"/>
      <c r="J54" s="32"/>
      <c r="K54" s="32"/>
      <c r="L54" s="30">
        <v>657492.24345199997</v>
      </c>
      <c r="M54" s="30">
        <v>657492.24345199997</v>
      </c>
      <c r="N54" s="30">
        <v>657492.24345199997</v>
      </c>
      <c r="O54" s="30">
        <v>657492.24345199997</v>
      </c>
      <c r="P54" s="30">
        <v>158568.24</v>
      </c>
      <c r="Q54" s="34"/>
      <c r="R54" s="34"/>
      <c r="S54" s="34"/>
      <c r="T54" s="34"/>
      <c r="U54" s="32"/>
      <c r="V54" s="32"/>
      <c r="W54" s="32"/>
      <c r="X54" s="32"/>
      <c r="Y54" s="30">
        <v>657492.24345199997</v>
      </c>
      <c r="Z54" s="30">
        <v>657492.24345199997</v>
      </c>
      <c r="AA54" s="30">
        <v>657492.24345199997</v>
      </c>
      <c r="AB54" s="30">
        <v>657492.24345199997</v>
      </c>
      <c r="AC54" s="30">
        <v>158568.24</v>
      </c>
      <c r="AD54" s="34"/>
      <c r="AE54" s="34"/>
      <c r="AF54" s="34"/>
      <c r="AG54" s="34"/>
      <c r="AH54" s="34"/>
      <c r="AI54" s="32"/>
      <c r="AJ54" s="32"/>
      <c r="AK54" s="30">
        <v>657492.24345199997</v>
      </c>
      <c r="AL54" s="30">
        <v>657492.24345199997</v>
      </c>
      <c r="AM54" s="30">
        <v>657492.24345199997</v>
      </c>
      <c r="AN54" s="34"/>
      <c r="AO54" s="34"/>
      <c r="AP54" s="34"/>
      <c r="AQ54" s="34"/>
      <c r="AR54" s="32"/>
      <c r="AS54" s="32"/>
      <c r="AT54" s="30">
        <v>688931.64196000004</v>
      </c>
      <c r="AU54" s="30">
        <v>688931.64196000004</v>
      </c>
      <c r="AV54" s="34"/>
      <c r="AW54" s="34"/>
      <c r="AX54" s="34"/>
      <c r="AY54" s="32"/>
      <c r="AZ54" s="32"/>
      <c r="BA54" s="30">
        <v>770960.13648999995</v>
      </c>
      <c r="BB54" s="30">
        <v>770960.13648999995</v>
      </c>
      <c r="BC54" s="34"/>
      <c r="BD54" s="34"/>
    </row>
    <row r="55" spans="1:56" x14ac:dyDescent="0.3">
      <c r="A55" s="43"/>
      <c r="B55" s="44"/>
      <c r="C55" s="12"/>
      <c r="D55" s="7"/>
      <c r="E55" s="7"/>
      <c r="F55" s="7"/>
      <c r="G55" s="32"/>
      <c r="H55" s="32"/>
      <c r="I55" s="32"/>
      <c r="J55" s="32"/>
      <c r="K55" s="32"/>
      <c r="L55" s="33"/>
      <c r="M55" s="33"/>
      <c r="N55" s="33"/>
      <c r="O55" s="33"/>
      <c r="P55" s="33"/>
      <c r="Q55" s="34"/>
      <c r="R55" s="34"/>
      <c r="S55" s="34"/>
      <c r="T55" s="34"/>
      <c r="U55" s="32"/>
      <c r="V55" s="32"/>
      <c r="W55" s="32"/>
      <c r="X55" s="32"/>
      <c r="Y55" s="33"/>
      <c r="Z55" s="33"/>
      <c r="AA55" s="33"/>
      <c r="AB55" s="33"/>
      <c r="AC55" s="33"/>
      <c r="AD55" s="34"/>
      <c r="AE55" s="34"/>
      <c r="AF55" s="34"/>
      <c r="AG55" s="34"/>
      <c r="AH55" s="34"/>
      <c r="AI55" s="32"/>
      <c r="AJ55" s="32"/>
      <c r="AK55" s="33"/>
      <c r="AL55" s="33"/>
      <c r="AM55" s="33"/>
      <c r="AN55" s="34"/>
      <c r="AO55" s="34"/>
      <c r="AP55" s="34"/>
      <c r="AQ55" s="34"/>
      <c r="AR55" s="32"/>
      <c r="AS55" s="32"/>
      <c r="AT55" s="33"/>
      <c r="AU55" s="33"/>
      <c r="AV55" s="34"/>
      <c r="AW55" s="34"/>
      <c r="AX55" s="34"/>
      <c r="AY55" s="32"/>
      <c r="AZ55" s="32"/>
      <c r="BA55" s="33"/>
      <c r="BB55" s="33"/>
      <c r="BC55" s="34"/>
      <c r="BD55" s="34"/>
    </row>
    <row r="56" spans="1:56" ht="14.4" customHeight="1" x14ac:dyDescent="0.3">
      <c r="A56" s="43"/>
      <c r="B56" s="42" t="s">
        <v>147</v>
      </c>
      <c r="C56" s="13" t="s">
        <v>148</v>
      </c>
      <c r="D56" s="6" t="s">
        <v>59</v>
      </c>
      <c r="E56" s="6" t="s">
        <v>149</v>
      </c>
      <c r="F56" s="6" t="s">
        <v>86</v>
      </c>
      <c r="G56" s="32"/>
      <c r="H56" s="32"/>
      <c r="I56" s="32"/>
      <c r="J56" s="32"/>
      <c r="K56" s="32"/>
      <c r="L56" s="33"/>
      <c r="M56" s="33"/>
      <c r="N56" s="30">
        <v>153.63319799999999</v>
      </c>
      <c r="O56" s="30">
        <v>153.63319799999999</v>
      </c>
      <c r="P56" s="30">
        <v>153.63319999999999</v>
      </c>
      <c r="Q56" s="34"/>
      <c r="R56" s="34"/>
      <c r="S56" s="31">
        <v>153.63319799999999</v>
      </c>
      <c r="T56" s="31">
        <v>153.63319799999999</v>
      </c>
      <c r="U56" s="32"/>
      <c r="V56" s="32"/>
      <c r="W56" s="32"/>
      <c r="X56" s="32"/>
      <c r="Y56" s="33"/>
      <c r="Z56" s="33"/>
      <c r="AA56" s="30">
        <v>153.63319799999999</v>
      </c>
      <c r="AB56" s="30">
        <v>153.63319799999999</v>
      </c>
      <c r="AC56" s="30">
        <v>153.63319799999999</v>
      </c>
      <c r="AD56" s="34"/>
      <c r="AE56" s="34"/>
      <c r="AF56" s="31">
        <v>153.63319799999999</v>
      </c>
      <c r="AG56" s="31">
        <v>153.63319799999999</v>
      </c>
      <c r="AH56" s="31">
        <v>153.63319799999999</v>
      </c>
      <c r="AI56" s="32"/>
      <c r="AJ56" s="32"/>
      <c r="AK56" s="33"/>
      <c r="AL56" s="33"/>
      <c r="AM56" s="30">
        <v>153.63319799999999</v>
      </c>
      <c r="AN56" s="34"/>
      <c r="AO56" s="34"/>
      <c r="AP56" s="31">
        <v>153.63319799999999</v>
      </c>
      <c r="AQ56" s="31">
        <v>153.63319799999999</v>
      </c>
      <c r="AR56" s="32"/>
      <c r="AS56" s="32"/>
      <c r="AT56" s="33"/>
      <c r="AU56" s="33"/>
      <c r="AV56" s="34"/>
      <c r="AW56" s="34"/>
      <c r="AX56" s="31">
        <v>153.63319799999999</v>
      </c>
      <c r="AY56" s="32"/>
      <c r="AZ56" s="32"/>
      <c r="BA56" s="33"/>
      <c r="BB56" s="33"/>
      <c r="BC56" s="34"/>
      <c r="BD56" s="34"/>
    </row>
    <row r="57" spans="1:56" x14ac:dyDescent="0.3">
      <c r="A57" s="43"/>
      <c r="B57" s="43"/>
      <c r="C57" s="14" t="s">
        <v>148</v>
      </c>
      <c r="D57" s="3" t="s">
        <v>62</v>
      </c>
      <c r="E57" s="3" t="s">
        <v>150</v>
      </c>
      <c r="F57" s="3" t="s">
        <v>121</v>
      </c>
      <c r="G57" s="32"/>
      <c r="H57" s="32"/>
      <c r="I57" s="32"/>
      <c r="J57" s="32"/>
      <c r="K57" s="32"/>
      <c r="L57" s="33"/>
      <c r="M57" s="33"/>
      <c r="N57" s="30">
        <v>277.40879999999999</v>
      </c>
      <c r="O57" s="30">
        <v>277.40879999999999</v>
      </c>
      <c r="P57" s="30">
        <v>277.40879999999999</v>
      </c>
      <c r="Q57" s="34"/>
      <c r="R57" s="34"/>
      <c r="S57" s="31">
        <v>78.484999999999999</v>
      </c>
      <c r="T57" s="31">
        <v>78.484999999999999</v>
      </c>
      <c r="U57" s="32"/>
      <c r="V57" s="32"/>
      <c r="W57" s="32"/>
      <c r="X57" s="32"/>
      <c r="Y57" s="33"/>
      <c r="Z57" s="33"/>
      <c r="AA57" s="30">
        <v>277.40879999999999</v>
      </c>
      <c r="AB57" s="30">
        <v>277.40879999999999</v>
      </c>
      <c r="AC57" s="30">
        <v>277.40879999999999</v>
      </c>
      <c r="AD57" s="34"/>
      <c r="AE57" s="34"/>
      <c r="AF57" s="31">
        <v>78.484999999999999</v>
      </c>
      <c r="AG57" s="31">
        <v>78.484999999999999</v>
      </c>
      <c r="AH57" s="31">
        <v>78.484999999999999</v>
      </c>
      <c r="AI57" s="32"/>
      <c r="AJ57" s="32"/>
      <c r="AK57" s="33"/>
      <c r="AL57" s="33"/>
      <c r="AM57" s="30">
        <v>277.40879999999999</v>
      </c>
      <c r="AN57" s="34"/>
      <c r="AO57" s="34"/>
      <c r="AP57" s="31">
        <v>78.484999999999999</v>
      </c>
      <c r="AQ57" s="31">
        <v>78.484999999999999</v>
      </c>
      <c r="AR57" s="32"/>
      <c r="AS57" s="32"/>
      <c r="AT57" s="33"/>
      <c r="AU57" s="33"/>
      <c r="AV57" s="34"/>
      <c r="AW57" s="34"/>
      <c r="AX57" s="31">
        <v>78.484999999999999</v>
      </c>
      <c r="AY57" s="32"/>
      <c r="AZ57" s="32"/>
      <c r="BA57" s="33"/>
      <c r="BB57" s="33"/>
      <c r="BC57" s="34"/>
      <c r="BD57" s="34"/>
    </row>
    <row r="58" spans="1:56" x14ac:dyDescent="0.3">
      <c r="A58" s="43"/>
      <c r="B58" s="43"/>
      <c r="C58" s="14" t="s">
        <v>148</v>
      </c>
      <c r="D58" s="3" t="s">
        <v>65</v>
      </c>
      <c r="E58" s="3" t="s">
        <v>151</v>
      </c>
      <c r="F58" s="3" t="s">
        <v>67</v>
      </c>
      <c r="G58" s="32"/>
      <c r="H58" s="32"/>
      <c r="I58" s="32"/>
      <c r="J58" s="32"/>
      <c r="K58" s="32"/>
      <c r="L58" s="33"/>
      <c r="M58" s="33"/>
      <c r="N58" s="30">
        <v>2430.1010879999999</v>
      </c>
      <c r="O58" s="30">
        <v>2430.1010879999999</v>
      </c>
      <c r="P58" s="30">
        <v>2430.1010999999999</v>
      </c>
      <c r="Q58" s="34"/>
      <c r="R58" s="34"/>
      <c r="S58" s="31">
        <v>687.52859999999998</v>
      </c>
      <c r="T58" s="31">
        <v>687.52859999999998</v>
      </c>
      <c r="U58" s="32"/>
      <c r="V58" s="32"/>
      <c r="W58" s="32"/>
      <c r="X58" s="32"/>
      <c r="Y58" s="33"/>
      <c r="Z58" s="33"/>
      <c r="AA58" s="30">
        <v>2430.1010879999999</v>
      </c>
      <c r="AB58" s="30">
        <v>2430.1010879999999</v>
      </c>
      <c r="AC58" s="30">
        <v>2430.1010879999999</v>
      </c>
      <c r="AD58" s="34"/>
      <c r="AE58" s="34"/>
      <c r="AF58" s="31">
        <v>687.52859999999998</v>
      </c>
      <c r="AG58" s="31">
        <v>687.52859999999998</v>
      </c>
      <c r="AH58" s="31">
        <v>687.52859999999998</v>
      </c>
      <c r="AI58" s="32"/>
      <c r="AJ58" s="32"/>
      <c r="AK58" s="33"/>
      <c r="AL58" s="33"/>
      <c r="AM58" s="30">
        <v>2430.1010879999999</v>
      </c>
      <c r="AN58" s="34"/>
      <c r="AO58" s="34"/>
      <c r="AP58" s="31">
        <v>687.52859999999998</v>
      </c>
      <c r="AQ58" s="31">
        <v>687.52859999999998</v>
      </c>
      <c r="AR58" s="32"/>
      <c r="AS58" s="32"/>
      <c r="AT58" s="33"/>
      <c r="AU58" s="33"/>
      <c r="AV58" s="34"/>
      <c r="AW58" s="34"/>
      <c r="AX58" s="31">
        <v>687.52859999999998</v>
      </c>
      <c r="AY58" s="32"/>
      <c r="AZ58" s="32"/>
      <c r="BA58" s="33"/>
      <c r="BB58" s="33"/>
      <c r="BC58" s="34"/>
      <c r="BD58" s="34"/>
    </row>
    <row r="59" spans="1:56" x14ac:dyDescent="0.3">
      <c r="A59" s="43"/>
      <c r="B59" s="43"/>
      <c r="C59" s="14" t="s">
        <v>148</v>
      </c>
      <c r="D59" s="3" t="s">
        <v>152</v>
      </c>
      <c r="E59" s="3" t="s">
        <v>153</v>
      </c>
      <c r="F59" s="3" t="s">
        <v>154</v>
      </c>
      <c r="G59" s="32"/>
      <c r="H59" s="32"/>
      <c r="I59" s="32"/>
      <c r="J59" s="32"/>
      <c r="K59" s="32"/>
      <c r="L59" s="33"/>
      <c r="M59" s="33"/>
      <c r="N59" s="30">
        <v>11275669.048319999</v>
      </c>
      <c r="O59" s="30">
        <v>11275669.048319999</v>
      </c>
      <c r="P59" s="30">
        <v>11275669.0483</v>
      </c>
      <c r="Q59" s="34"/>
      <c r="R59" s="34"/>
      <c r="S59" s="31">
        <v>3190132.7039999999</v>
      </c>
      <c r="T59" s="31">
        <v>3190132.7039999999</v>
      </c>
      <c r="U59" s="32"/>
      <c r="V59" s="32"/>
      <c r="W59" s="32"/>
      <c r="X59" s="32"/>
      <c r="Y59" s="33"/>
      <c r="Z59" s="33"/>
      <c r="AA59" s="30">
        <v>11275669.048319999</v>
      </c>
      <c r="AB59" s="30">
        <v>11275669.048319999</v>
      </c>
      <c r="AC59" s="30">
        <v>11275669.048319999</v>
      </c>
      <c r="AD59" s="34"/>
      <c r="AE59" s="34"/>
      <c r="AF59" s="31">
        <v>3190132.7039999999</v>
      </c>
      <c r="AG59" s="31">
        <v>3190132.7039999999</v>
      </c>
      <c r="AH59" s="31">
        <v>3190132.7039999999</v>
      </c>
      <c r="AI59" s="32"/>
      <c r="AJ59" s="32"/>
      <c r="AK59" s="33"/>
      <c r="AL59" s="33"/>
      <c r="AM59" s="30">
        <v>11275669.048319999</v>
      </c>
      <c r="AN59" s="34"/>
      <c r="AO59" s="34"/>
      <c r="AP59" s="31">
        <v>3190132.7039999999</v>
      </c>
      <c r="AQ59" s="31">
        <v>3190132.7039999999</v>
      </c>
      <c r="AR59" s="32"/>
      <c r="AS59" s="32"/>
      <c r="AT59" s="33"/>
      <c r="AU59" s="33"/>
      <c r="AV59" s="34"/>
      <c r="AW59" s="34"/>
      <c r="AX59" s="31">
        <v>3190132.7039999999</v>
      </c>
      <c r="AY59" s="32"/>
      <c r="AZ59" s="32"/>
      <c r="BA59" s="33"/>
      <c r="BB59" s="33"/>
      <c r="BC59" s="34"/>
      <c r="BD59" s="34"/>
    </row>
    <row r="60" spans="1:56" x14ac:dyDescent="0.3">
      <c r="A60" s="43"/>
      <c r="B60" s="43"/>
      <c r="C60" s="14" t="s">
        <v>148</v>
      </c>
      <c r="D60" s="3" t="s">
        <v>155</v>
      </c>
      <c r="E60" s="3" t="s">
        <v>156</v>
      </c>
      <c r="F60" s="3" t="s">
        <v>157</v>
      </c>
      <c r="G60" s="32"/>
      <c r="H60" s="32"/>
      <c r="I60" s="32"/>
      <c r="J60" s="32"/>
      <c r="K60" s="32"/>
      <c r="L60" s="33"/>
      <c r="M60" s="33"/>
      <c r="N60" s="30">
        <v>30376263.600000001</v>
      </c>
      <c r="O60" s="30">
        <v>30376263.600000001</v>
      </c>
      <c r="P60" s="30">
        <v>30376263.600000001</v>
      </c>
      <c r="Q60" s="34"/>
      <c r="R60" s="34"/>
      <c r="S60" s="31">
        <v>8594107.5</v>
      </c>
      <c r="T60" s="31">
        <v>8594107.5</v>
      </c>
      <c r="U60" s="32"/>
      <c r="V60" s="32"/>
      <c r="W60" s="32"/>
      <c r="X60" s="32"/>
      <c r="Y60" s="33"/>
      <c r="Z60" s="33"/>
      <c r="AA60" s="30">
        <v>30376263.600000001</v>
      </c>
      <c r="AB60" s="30">
        <v>30376263.600000001</v>
      </c>
      <c r="AC60" s="30">
        <v>30376263.600000001</v>
      </c>
      <c r="AD60" s="34"/>
      <c r="AE60" s="34"/>
      <c r="AF60" s="31">
        <v>8594107.5</v>
      </c>
      <c r="AG60" s="31">
        <v>8594107.5</v>
      </c>
      <c r="AH60" s="31">
        <v>8594107.5</v>
      </c>
      <c r="AI60" s="32"/>
      <c r="AJ60" s="32"/>
      <c r="AK60" s="33"/>
      <c r="AL60" s="33"/>
      <c r="AM60" s="30">
        <v>30376263.600000001</v>
      </c>
      <c r="AN60" s="34"/>
      <c r="AO60" s="34"/>
      <c r="AP60" s="31">
        <v>8594107.5</v>
      </c>
      <c r="AQ60" s="31">
        <v>8594107.5</v>
      </c>
      <c r="AR60" s="32"/>
      <c r="AS60" s="32"/>
      <c r="AT60" s="33"/>
      <c r="AU60" s="33"/>
      <c r="AV60" s="34"/>
      <c r="AW60" s="34"/>
      <c r="AX60" s="31">
        <v>8594107.5</v>
      </c>
      <c r="AY60" s="32"/>
      <c r="AZ60" s="32"/>
      <c r="BA60" s="33"/>
      <c r="BB60" s="33"/>
      <c r="BC60" s="34"/>
      <c r="BD60" s="34"/>
    </row>
    <row r="61" spans="1:56" x14ac:dyDescent="0.3">
      <c r="A61" s="43"/>
      <c r="B61" s="43"/>
      <c r="C61" s="14" t="s">
        <v>148</v>
      </c>
      <c r="D61" s="3" t="s">
        <v>158</v>
      </c>
      <c r="E61" s="3" t="s">
        <v>159</v>
      </c>
      <c r="F61" s="3" t="s">
        <v>94</v>
      </c>
      <c r="G61" s="32"/>
      <c r="H61" s="32"/>
      <c r="I61" s="32"/>
      <c r="J61" s="32"/>
      <c r="K61" s="32"/>
      <c r="L61" s="33"/>
      <c r="M61" s="33"/>
      <c r="N61" s="30">
        <v>12150505.439999999</v>
      </c>
      <c r="O61" s="30">
        <v>12150505.439999999</v>
      </c>
      <c r="P61" s="30">
        <v>12150505.439999999</v>
      </c>
      <c r="Q61" s="34"/>
      <c r="R61" s="34"/>
      <c r="S61" s="31">
        <v>3437643</v>
      </c>
      <c r="T61" s="31">
        <v>3437643</v>
      </c>
      <c r="U61" s="32"/>
      <c r="V61" s="32"/>
      <c r="W61" s="32"/>
      <c r="X61" s="32"/>
      <c r="Y61" s="33"/>
      <c r="Z61" s="33"/>
      <c r="AA61" s="30">
        <v>12150505.439999999</v>
      </c>
      <c r="AB61" s="30">
        <v>12150505.439999999</v>
      </c>
      <c r="AC61" s="30">
        <v>12150505.439999999</v>
      </c>
      <c r="AD61" s="34"/>
      <c r="AE61" s="34"/>
      <c r="AF61" s="31">
        <v>3437643</v>
      </c>
      <c r="AG61" s="31">
        <v>3437643</v>
      </c>
      <c r="AH61" s="31">
        <v>3437643</v>
      </c>
      <c r="AI61" s="32"/>
      <c r="AJ61" s="32"/>
      <c r="AK61" s="33"/>
      <c r="AL61" s="33"/>
      <c r="AM61" s="30">
        <v>12150505.439999999</v>
      </c>
      <c r="AN61" s="34"/>
      <c r="AO61" s="34"/>
      <c r="AP61" s="31">
        <v>3437643</v>
      </c>
      <c r="AQ61" s="31">
        <v>3437643</v>
      </c>
      <c r="AR61" s="32"/>
      <c r="AS61" s="32"/>
      <c r="AT61" s="33"/>
      <c r="AU61" s="33"/>
      <c r="AV61" s="34"/>
      <c r="AW61" s="34"/>
      <c r="AX61" s="31">
        <v>3437643</v>
      </c>
      <c r="AY61" s="32"/>
      <c r="AZ61" s="32"/>
      <c r="BA61" s="33"/>
      <c r="BB61" s="33"/>
      <c r="BC61" s="34"/>
      <c r="BD61" s="34"/>
    </row>
    <row r="62" spans="1:56" x14ac:dyDescent="0.3">
      <c r="A62" s="43"/>
      <c r="B62" s="43"/>
      <c r="C62" s="14" t="s">
        <v>148</v>
      </c>
      <c r="D62" s="3" t="s">
        <v>71</v>
      </c>
      <c r="E62" s="3" t="s">
        <v>160</v>
      </c>
      <c r="F62" s="3" t="s">
        <v>73</v>
      </c>
      <c r="G62" s="32"/>
      <c r="H62" s="32"/>
      <c r="I62" s="32"/>
      <c r="J62" s="32"/>
      <c r="K62" s="32"/>
      <c r="L62" s="33"/>
      <c r="M62" s="33"/>
      <c r="N62" s="30">
        <v>2274752.16</v>
      </c>
      <c r="O62" s="30">
        <v>2274752.16</v>
      </c>
      <c r="P62" s="30">
        <v>2274752.16</v>
      </c>
      <c r="Q62" s="34"/>
      <c r="R62" s="34"/>
      <c r="S62" s="31">
        <v>643577</v>
      </c>
      <c r="T62" s="31">
        <v>643577</v>
      </c>
      <c r="U62" s="32"/>
      <c r="V62" s="32"/>
      <c r="W62" s="32"/>
      <c r="X62" s="32"/>
      <c r="Y62" s="33"/>
      <c r="Z62" s="33"/>
      <c r="AA62" s="30">
        <v>2274752.16</v>
      </c>
      <c r="AB62" s="30">
        <v>2274752.16</v>
      </c>
      <c r="AC62" s="30">
        <v>2274752.16</v>
      </c>
      <c r="AD62" s="34"/>
      <c r="AE62" s="34"/>
      <c r="AF62" s="31">
        <v>643577</v>
      </c>
      <c r="AG62" s="31">
        <v>643577</v>
      </c>
      <c r="AH62" s="31">
        <v>643577</v>
      </c>
      <c r="AI62" s="32"/>
      <c r="AJ62" s="32"/>
      <c r="AK62" s="33"/>
      <c r="AL62" s="33"/>
      <c r="AM62" s="30">
        <v>2274752.16</v>
      </c>
      <c r="AN62" s="34"/>
      <c r="AO62" s="34"/>
      <c r="AP62" s="31">
        <v>643577</v>
      </c>
      <c r="AQ62" s="31">
        <v>643577</v>
      </c>
      <c r="AR62" s="32"/>
      <c r="AS62" s="32"/>
      <c r="AT62" s="33"/>
      <c r="AU62" s="33"/>
      <c r="AV62" s="34"/>
      <c r="AW62" s="34"/>
      <c r="AX62" s="31">
        <v>643577</v>
      </c>
      <c r="AY62" s="32"/>
      <c r="AZ62" s="32"/>
      <c r="BA62" s="33"/>
      <c r="BB62" s="33"/>
      <c r="BC62" s="34"/>
      <c r="BD62" s="34"/>
    </row>
    <row r="63" spans="1:56" x14ac:dyDescent="0.3">
      <c r="A63" s="43"/>
      <c r="B63" s="43"/>
      <c r="C63" s="14" t="s">
        <v>148</v>
      </c>
      <c r="D63" s="3" t="s">
        <v>74</v>
      </c>
      <c r="E63" s="3" t="s">
        <v>161</v>
      </c>
      <c r="F63" s="3" t="s">
        <v>76</v>
      </c>
      <c r="G63" s="32"/>
      <c r="H63" s="32"/>
      <c r="I63" s="32"/>
      <c r="J63" s="32"/>
      <c r="K63" s="32"/>
      <c r="L63" s="33"/>
      <c r="M63" s="33"/>
      <c r="N63" s="30">
        <v>90990.0864</v>
      </c>
      <c r="O63" s="30">
        <v>90990.0864</v>
      </c>
      <c r="P63" s="30">
        <v>90990.0864</v>
      </c>
      <c r="Q63" s="34"/>
      <c r="R63" s="34"/>
      <c r="S63" s="31">
        <v>25743.08</v>
      </c>
      <c r="T63" s="31">
        <v>25743.08</v>
      </c>
      <c r="U63" s="32"/>
      <c r="V63" s="32"/>
      <c r="W63" s="32"/>
      <c r="X63" s="32"/>
      <c r="Y63" s="33"/>
      <c r="Z63" s="33"/>
      <c r="AA63" s="30">
        <v>90990.0864</v>
      </c>
      <c r="AB63" s="30">
        <v>90990.0864</v>
      </c>
      <c r="AC63" s="30">
        <v>90990.0864</v>
      </c>
      <c r="AD63" s="34"/>
      <c r="AE63" s="34"/>
      <c r="AF63" s="31">
        <v>25743.08</v>
      </c>
      <c r="AG63" s="31">
        <v>25743.08</v>
      </c>
      <c r="AH63" s="31">
        <v>25743.08</v>
      </c>
      <c r="AI63" s="32"/>
      <c r="AJ63" s="32"/>
      <c r="AK63" s="33"/>
      <c r="AL63" s="33"/>
      <c r="AM63" s="30">
        <v>90990.0864</v>
      </c>
      <c r="AN63" s="34"/>
      <c r="AO63" s="34"/>
      <c r="AP63" s="31">
        <v>25743.08</v>
      </c>
      <c r="AQ63" s="31">
        <v>25743.08</v>
      </c>
      <c r="AR63" s="32"/>
      <c r="AS63" s="32"/>
      <c r="AT63" s="33"/>
      <c r="AU63" s="33"/>
      <c r="AV63" s="34"/>
      <c r="AW63" s="34"/>
      <c r="AX63" s="31">
        <v>25743.08</v>
      </c>
      <c r="AY63" s="32"/>
      <c r="AZ63" s="32"/>
      <c r="BA63" s="33"/>
      <c r="BB63" s="33"/>
      <c r="BC63" s="34"/>
      <c r="BD63" s="34"/>
    </row>
    <row r="64" spans="1:56" x14ac:dyDescent="0.3">
      <c r="A64" s="43"/>
      <c r="B64" s="43"/>
      <c r="C64" s="14" t="s">
        <v>148</v>
      </c>
      <c r="D64" s="3" t="s">
        <v>162</v>
      </c>
      <c r="E64" s="3" t="s">
        <v>163</v>
      </c>
      <c r="F64" s="3" t="s">
        <v>76</v>
      </c>
      <c r="G64" s="32"/>
      <c r="H64" s="32"/>
      <c r="I64" s="32"/>
      <c r="J64" s="32"/>
      <c r="K64" s="32"/>
      <c r="L64" s="33"/>
      <c r="M64" s="33"/>
      <c r="N64" s="30">
        <v>18225.758160000001</v>
      </c>
      <c r="O64" s="30">
        <v>18225.758160000001</v>
      </c>
      <c r="P64" s="30">
        <v>18225.7582</v>
      </c>
      <c r="Q64" s="34"/>
      <c r="R64" s="34"/>
      <c r="S64" s="31">
        <v>5156.4645</v>
      </c>
      <c r="T64" s="31">
        <v>5156.4645</v>
      </c>
      <c r="U64" s="32"/>
      <c r="V64" s="32"/>
      <c r="W64" s="32"/>
      <c r="X64" s="32"/>
      <c r="Y64" s="33"/>
      <c r="Z64" s="33"/>
      <c r="AA64" s="30">
        <v>18225.758160000001</v>
      </c>
      <c r="AB64" s="30">
        <v>18225.758160000001</v>
      </c>
      <c r="AC64" s="30">
        <v>18225.758160000001</v>
      </c>
      <c r="AD64" s="34"/>
      <c r="AE64" s="34"/>
      <c r="AF64" s="31">
        <v>5156.4645</v>
      </c>
      <c r="AG64" s="31">
        <v>5156.4645</v>
      </c>
      <c r="AH64" s="31">
        <v>5156.4645</v>
      </c>
      <c r="AI64" s="32"/>
      <c r="AJ64" s="32"/>
      <c r="AK64" s="33"/>
      <c r="AL64" s="33"/>
      <c r="AM64" s="30">
        <v>18225.758160000001</v>
      </c>
      <c r="AN64" s="34"/>
      <c r="AO64" s="34"/>
      <c r="AP64" s="31">
        <v>5156.4645</v>
      </c>
      <c r="AQ64" s="31">
        <v>5156.4645</v>
      </c>
      <c r="AR64" s="32"/>
      <c r="AS64" s="32"/>
      <c r="AT64" s="33"/>
      <c r="AU64" s="33"/>
      <c r="AV64" s="34"/>
      <c r="AW64" s="34"/>
      <c r="AX64" s="31">
        <v>5156.4645</v>
      </c>
      <c r="AY64" s="32"/>
      <c r="AZ64" s="32"/>
      <c r="BA64" s="33"/>
      <c r="BB64" s="33"/>
      <c r="BC64" s="34"/>
      <c r="BD64" s="34"/>
    </row>
    <row r="65" spans="1:56" x14ac:dyDescent="0.3">
      <c r="A65" s="43"/>
      <c r="B65" s="43"/>
      <c r="C65" s="14" t="s">
        <v>148</v>
      </c>
      <c r="D65" s="3" t="s">
        <v>77</v>
      </c>
      <c r="E65" s="3" t="s">
        <v>164</v>
      </c>
      <c r="F65" s="3" t="s">
        <v>76</v>
      </c>
      <c r="G65" s="32"/>
      <c r="H65" s="32"/>
      <c r="I65" s="32"/>
      <c r="J65" s="32"/>
      <c r="K65" s="32"/>
      <c r="L65" s="33"/>
      <c r="M65" s="33"/>
      <c r="N65" s="30">
        <v>213096.004995</v>
      </c>
      <c r="O65" s="30">
        <v>213096.004995</v>
      </c>
      <c r="P65" s="30">
        <v>213096.005</v>
      </c>
      <c r="Q65" s="34"/>
      <c r="R65" s="34"/>
      <c r="S65" s="31">
        <v>60289.507586</v>
      </c>
      <c r="T65" s="31">
        <v>60289.507586</v>
      </c>
      <c r="U65" s="32"/>
      <c r="V65" s="32"/>
      <c r="W65" s="32"/>
      <c r="X65" s="32"/>
      <c r="Y65" s="33"/>
      <c r="Z65" s="33"/>
      <c r="AA65" s="30">
        <v>213096.004995</v>
      </c>
      <c r="AB65" s="30">
        <v>213096.004995</v>
      </c>
      <c r="AC65" s="30">
        <v>213096.004995</v>
      </c>
      <c r="AD65" s="34"/>
      <c r="AE65" s="34"/>
      <c r="AF65" s="31">
        <v>60289.507586</v>
      </c>
      <c r="AG65" s="31">
        <v>60289.507586</v>
      </c>
      <c r="AH65" s="31">
        <v>60289.507586</v>
      </c>
      <c r="AI65" s="32"/>
      <c r="AJ65" s="32"/>
      <c r="AK65" s="33"/>
      <c r="AL65" s="33"/>
      <c r="AM65" s="30">
        <v>213096.004995</v>
      </c>
      <c r="AN65" s="34"/>
      <c r="AO65" s="34"/>
      <c r="AP65" s="31">
        <v>60289.507586</v>
      </c>
      <c r="AQ65" s="31">
        <v>60289.507586</v>
      </c>
      <c r="AR65" s="32"/>
      <c r="AS65" s="32"/>
      <c r="AT65" s="33"/>
      <c r="AU65" s="33"/>
      <c r="AV65" s="34"/>
      <c r="AW65" s="34"/>
      <c r="AX65" s="31">
        <v>60289.507586</v>
      </c>
      <c r="AY65" s="32"/>
      <c r="AZ65" s="32"/>
      <c r="BA65" s="33"/>
      <c r="BB65" s="33"/>
      <c r="BC65" s="34"/>
      <c r="BD65" s="34"/>
    </row>
    <row r="66" spans="1:56" x14ac:dyDescent="0.3">
      <c r="A66" s="43"/>
      <c r="B66" s="43"/>
      <c r="C66" s="14" t="s">
        <v>148</v>
      </c>
      <c r="D66" s="3" t="s">
        <v>79</v>
      </c>
      <c r="E66" s="3" t="s">
        <v>165</v>
      </c>
      <c r="F66" s="3" t="s">
        <v>73</v>
      </c>
      <c r="G66" s="32"/>
      <c r="H66" s="32"/>
      <c r="I66" s="32"/>
      <c r="J66" s="32"/>
      <c r="K66" s="32"/>
      <c r="L66" s="33"/>
      <c r="M66" s="33"/>
      <c r="N66" s="30">
        <v>5327400.1248660004</v>
      </c>
      <c r="O66" s="30">
        <v>5327400.1248660004</v>
      </c>
      <c r="P66" s="30">
        <v>5327400.1249000002</v>
      </c>
      <c r="Q66" s="34"/>
      <c r="R66" s="34"/>
      <c r="S66" s="31">
        <v>1507237.6896480001</v>
      </c>
      <c r="T66" s="31">
        <v>1507237.6896480001</v>
      </c>
      <c r="U66" s="32"/>
      <c r="V66" s="32"/>
      <c r="W66" s="32"/>
      <c r="X66" s="32"/>
      <c r="Y66" s="33"/>
      <c r="Z66" s="33"/>
      <c r="AA66" s="30">
        <v>5327400.1248660004</v>
      </c>
      <c r="AB66" s="30">
        <v>5327400.1248660004</v>
      </c>
      <c r="AC66" s="30">
        <v>5327400.1248660004</v>
      </c>
      <c r="AD66" s="34"/>
      <c r="AE66" s="34"/>
      <c r="AF66" s="31">
        <v>1507237.6896480001</v>
      </c>
      <c r="AG66" s="31">
        <v>1507237.6896480001</v>
      </c>
      <c r="AH66" s="31">
        <v>1507237.6896480001</v>
      </c>
      <c r="AI66" s="32"/>
      <c r="AJ66" s="32"/>
      <c r="AK66" s="33"/>
      <c r="AL66" s="33"/>
      <c r="AM66" s="30">
        <v>5327400.1248660004</v>
      </c>
      <c r="AN66" s="34"/>
      <c r="AO66" s="34"/>
      <c r="AP66" s="31">
        <v>1507237.6896480001</v>
      </c>
      <c r="AQ66" s="31">
        <v>1507237.6896480001</v>
      </c>
      <c r="AR66" s="32"/>
      <c r="AS66" s="32"/>
      <c r="AT66" s="33"/>
      <c r="AU66" s="33"/>
      <c r="AV66" s="34"/>
      <c r="AW66" s="34"/>
      <c r="AX66" s="31">
        <v>1507237.6896480001</v>
      </c>
      <c r="AY66" s="32"/>
      <c r="AZ66" s="32"/>
      <c r="BA66" s="33"/>
      <c r="BB66" s="33"/>
      <c r="BC66" s="34"/>
      <c r="BD66" s="34"/>
    </row>
    <row r="67" spans="1:56" x14ac:dyDescent="0.3">
      <c r="A67" s="43"/>
      <c r="B67" s="43"/>
      <c r="C67" s="14" t="s">
        <v>148</v>
      </c>
      <c r="D67" s="3" t="s">
        <v>81</v>
      </c>
      <c r="E67" s="3" t="s">
        <v>166</v>
      </c>
      <c r="F67" s="3" t="s">
        <v>76</v>
      </c>
      <c r="G67" s="32"/>
      <c r="H67" s="32"/>
      <c r="I67" s="32"/>
      <c r="J67" s="32"/>
      <c r="K67" s="32"/>
      <c r="L67" s="33"/>
      <c r="M67" s="33"/>
      <c r="N67" s="30">
        <v>322311.84955500002</v>
      </c>
      <c r="O67" s="30">
        <v>322311.84955500002</v>
      </c>
      <c r="P67" s="30">
        <v>322311.84960000002</v>
      </c>
      <c r="Q67" s="34"/>
      <c r="R67" s="34"/>
      <c r="S67" s="31">
        <v>91189.052085999996</v>
      </c>
      <c r="T67" s="31">
        <v>91189.052085999996</v>
      </c>
      <c r="U67" s="32"/>
      <c r="V67" s="32"/>
      <c r="W67" s="32"/>
      <c r="X67" s="32"/>
      <c r="Y67" s="33"/>
      <c r="Z67" s="33"/>
      <c r="AA67" s="30">
        <v>322311.84955500002</v>
      </c>
      <c r="AB67" s="30">
        <v>322311.84955500002</v>
      </c>
      <c r="AC67" s="30">
        <v>322311.84955500002</v>
      </c>
      <c r="AD67" s="34"/>
      <c r="AE67" s="34"/>
      <c r="AF67" s="31">
        <v>91189.052085999996</v>
      </c>
      <c r="AG67" s="31">
        <v>91189.052085999996</v>
      </c>
      <c r="AH67" s="31">
        <v>91189.052085999996</v>
      </c>
      <c r="AI67" s="32"/>
      <c r="AJ67" s="32"/>
      <c r="AK67" s="33"/>
      <c r="AL67" s="33"/>
      <c r="AM67" s="30">
        <v>322311.84955500002</v>
      </c>
      <c r="AN67" s="34"/>
      <c r="AO67" s="34"/>
      <c r="AP67" s="31">
        <v>91189.052085999996</v>
      </c>
      <c r="AQ67" s="31">
        <v>91189.052085999996</v>
      </c>
      <c r="AR67" s="32"/>
      <c r="AS67" s="32"/>
      <c r="AT67" s="33"/>
      <c r="AU67" s="33"/>
      <c r="AV67" s="34"/>
      <c r="AW67" s="34"/>
      <c r="AX67" s="31">
        <v>91189.052085999996</v>
      </c>
      <c r="AY67" s="32"/>
      <c r="AZ67" s="32"/>
      <c r="BA67" s="33"/>
      <c r="BB67" s="33"/>
      <c r="BC67" s="34"/>
      <c r="BD67" s="34"/>
    </row>
    <row r="68" spans="1:56" x14ac:dyDescent="0.3">
      <c r="A68" s="43"/>
      <c r="B68" s="44"/>
      <c r="C68" s="15"/>
      <c r="D68" s="7"/>
      <c r="E68" s="7"/>
      <c r="F68" s="7"/>
      <c r="G68" s="32"/>
      <c r="H68" s="32"/>
      <c r="I68" s="32"/>
      <c r="J68" s="32"/>
      <c r="K68" s="32"/>
      <c r="L68" s="33"/>
      <c r="M68" s="33"/>
      <c r="N68" s="33"/>
      <c r="O68" s="33"/>
      <c r="P68" s="33"/>
      <c r="Q68" s="34"/>
      <c r="R68" s="34"/>
      <c r="S68" s="34"/>
      <c r="T68" s="34"/>
      <c r="U68" s="32"/>
      <c r="V68" s="32"/>
      <c r="W68" s="32"/>
      <c r="X68" s="32"/>
      <c r="Y68" s="33"/>
      <c r="Z68" s="33"/>
      <c r="AA68" s="33"/>
      <c r="AB68" s="33"/>
      <c r="AC68" s="33"/>
      <c r="AD68" s="34"/>
      <c r="AE68" s="34"/>
      <c r="AF68" s="34"/>
      <c r="AG68" s="34"/>
      <c r="AH68" s="34"/>
      <c r="AI68" s="32"/>
      <c r="AJ68" s="32"/>
      <c r="AK68" s="33"/>
      <c r="AL68" s="33"/>
      <c r="AM68" s="33"/>
      <c r="AN68" s="34"/>
      <c r="AO68" s="34"/>
      <c r="AP68" s="34"/>
      <c r="AQ68" s="34"/>
      <c r="AR68" s="32"/>
      <c r="AS68" s="32"/>
      <c r="AT68" s="33"/>
      <c r="AU68" s="33"/>
      <c r="AV68" s="34"/>
      <c r="AW68" s="34"/>
      <c r="AX68" s="34"/>
      <c r="AY68" s="32"/>
      <c r="AZ68" s="32"/>
      <c r="BA68" s="33"/>
      <c r="BB68" s="33"/>
      <c r="BC68" s="34"/>
      <c r="BD68" s="34"/>
    </row>
    <row r="69" spans="1:56" x14ac:dyDescent="0.3">
      <c r="A69" s="43"/>
      <c r="B69" s="46" t="s">
        <v>167</v>
      </c>
      <c r="C69" s="10" t="s">
        <v>168</v>
      </c>
      <c r="D69" s="3" t="s">
        <v>59</v>
      </c>
      <c r="E69" s="3" t="s">
        <v>169</v>
      </c>
      <c r="F69" s="3" t="s">
        <v>170</v>
      </c>
      <c r="G69" s="32"/>
      <c r="H69" s="32"/>
      <c r="I69" s="32"/>
      <c r="J69" s="32"/>
      <c r="K69" s="32"/>
      <c r="L69" s="30">
        <v>56.169811000000003</v>
      </c>
      <c r="M69" s="30">
        <v>56.169811000000003</v>
      </c>
      <c r="N69" s="30">
        <v>56.169811000000003</v>
      </c>
      <c r="O69" s="30">
        <v>56.169811000000003</v>
      </c>
      <c r="P69" s="30">
        <v>56.169800000000002</v>
      </c>
      <c r="Q69" s="31">
        <v>56.169811000000003</v>
      </c>
      <c r="R69" s="31">
        <v>56.169811000000003</v>
      </c>
      <c r="S69" s="31">
        <v>56.169811000000003</v>
      </c>
      <c r="T69" s="31">
        <v>56.169811000000003</v>
      </c>
      <c r="U69" s="32"/>
      <c r="V69" s="32"/>
      <c r="W69" s="32"/>
      <c r="X69" s="32"/>
      <c r="Y69" s="30">
        <v>56.169811000000003</v>
      </c>
      <c r="Z69" s="30">
        <v>56.169811000000003</v>
      </c>
      <c r="AA69" s="30">
        <v>56.169811000000003</v>
      </c>
      <c r="AB69" s="30">
        <v>56.169811000000003</v>
      </c>
      <c r="AC69" s="30">
        <v>56.169811000000003</v>
      </c>
      <c r="AD69" s="31">
        <v>56.169811000000003</v>
      </c>
      <c r="AE69" s="31">
        <v>56.169811000000003</v>
      </c>
      <c r="AF69" s="31">
        <v>56.169811000000003</v>
      </c>
      <c r="AG69" s="31">
        <v>56.169811000000003</v>
      </c>
      <c r="AH69" s="31">
        <v>56.169811000000003</v>
      </c>
      <c r="AI69" s="32"/>
      <c r="AJ69" s="32"/>
      <c r="AK69" s="30">
        <v>56.169811000000003</v>
      </c>
      <c r="AL69" s="30">
        <v>56.169811000000003</v>
      </c>
      <c r="AM69" s="30">
        <v>56.169811000000003</v>
      </c>
      <c r="AN69" s="31">
        <v>56.169811000000003</v>
      </c>
      <c r="AO69" s="31">
        <v>56.169811000000003</v>
      </c>
      <c r="AP69" s="31">
        <v>56.169811000000003</v>
      </c>
      <c r="AQ69" s="31">
        <v>56.169811000000003</v>
      </c>
      <c r="AR69" s="32"/>
      <c r="AS69" s="32"/>
      <c r="AT69" s="30">
        <v>60.042057</v>
      </c>
      <c r="AU69" s="30">
        <v>60.042057</v>
      </c>
      <c r="AV69" s="31">
        <v>60.042057</v>
      </c>
      <c r="AW69" s="31">
        <v>60.042057</v>
      </c>
      <c r="AX69" s="31">
        <v>56.169811000000003</v>
      </c>
      <c r="AY69" s="32"/>
      <c r="AZ69" s="32"/>
      <c r="BA69" s="30">
        <v>70.238727999999995</v>
      </c>
      <c r="BB69" s="30">
        <v>70.238727999999995</v>
      </c>
      <c r="BC69" s="31">
        <v>70.238727999999995</v>
      </c>
      <c r="BD69" s="31">
        <v>70.238727999999995</v>
      </c>
    </row>
    <row r="70" spans="1:56" x14ac:dyDescent="0.3">
      <c r="A70" s="43"/>
      <c r="B70" s="43"/>
      <c r="C70" s="10" t="s">
        <v>168</v>
      </c>
      <c r="D70" s="3" t="s">
        <v>62</v>
      </c>
      <c r="E70" s="3" t="s">
        <v>171</v>
      </c>
      <c r="F70" s="3" t="s">
        <v>121</v>
      </c>
      <c r="G70" s="32"/>
      <c r="H70" s="32"/>
      <c r="I70" s="32"/>
      <c r="J70" s="32"/>
      <c r="K70" s="32"/>
      <c r="L70" s="30">
        <v>757.42451900000003</v>
      </c>
      <c r="M70" s="30">
        <v>962.12736199999995</v>
      </c>
      <c r="N70" s="30">
        <v>515.81982900000003</v>
      </c>
      <c r="O70" s="30">
        <v>559.66290600000002</v>
      </c>
      <c r="P70" s="30">
        <v>559.66290000000004</v>
      </c>
      <c r="Q70" s="31">
        <v>276.06556399999999</v>
      </c>
      <c r="R70" s="31">
        <v>269.77320700000001</v>
      </c>
      <c r="S70" s="31">
        <v>146.54509999999999</v>
      </c>
      <c r="T70" s="31">
        <v>112.83289000000001</v>
      </c>
      <c r="U70" s="32"/>
      <c r="V70" s="32"/>
      <c r="W70" s="32"/>
      <c r="X70" s="32"/>
      <c r="Y70" s="30">
        <v>751.87190899999996</v>
      </c>
      <c r="Z70" s="30">
        <v>850.04127200000005</v>
      </c>
      <c r="AA70" s="30">
        <v>457.83898799999997</v>
      </c>
      <c r="AB70" s="30">
        <v>531.98514</v>
      </c>
      <c r="AC70" s="30">
        <v>531.98514</v>
      </c>
      <c r="AD70" s="31">
        <v>247.909696</v>
      </c>
      <c r="AE70" s="31">
        <v>245.00752</v>
      </c>
      <c r="AF70" s="31">
        <v>134.62673100000001</v>
      </c>
      <c r="AG70" s="31">
        <v>119.844675</v>
      </c>
      <c r="AH70" s="31">
        <v>119.844675</v>
      </c>
      <c r="AI70" s="32"/>
      <c r="AJ70" s="32"/>
      <c r="AK70" s="30">
        <v>710.32448499999998</v>
      </c>
      <c r="AL70" s="30">
        <v>1037.160664</v>
      </c>
      <c r="AM70" s="30">
        <v>556.802817</v>
      </c>
      <c r="AN70" s="31">
        <v>251.201672</v>
      </c>
      <c r="AO70" s="31">
        <v>286.52033499999999</v>
      </c>
      <c r="AP70" s="31">
        <v>153.59679299999999</v>
      </c>
      <c r="AQ70" s="31">
        <v>119.450338</v>
      </c>
      <c r="AR70" s="32"/>
      <c r="AS70" s="32"/>
      <c r="AT70" s="30">
        <v>704.71465999999998</v>
      </c>
      <c r="AU70" s="30">
        <v>779.61786800000004</v>
      </c>
      <c r="AV70" s="31">
        <v>206.58517599999999</v>
      </c>
      <c r="AW70" s="31">
        <v>219.07670999999999</v>
      </c>
      <c r="AX70" s="31">
        <v>112.46697500000001</v>
      </c>
      <c r="AY70" s="32"/>
      <c r="AZ70" s="32"/>
      <c r="BA70" s="30">
        <v>681.13442099999997</v>
      </c>
      <c r="BB70" s="30">
        <v>655.37828999999999</v>
      </c>
      <c r="BC70" s="31">
        <v>205.107868</v>
      </c>
      <c r="BD70" s="31">
        <v>185.42081200000001</v>
      </c>
    </row>
    <row r="71" spans="1:56" x14ac:dyDescent="0.3">
      <c r="A71" s="43"/>
      <c r="B71" s="43"/>
      <c r="C71" s="10" t="s">
        <v>168</v>
      </c>
      <c r="D71" s="3" t="s">
        <v>65</v>
      </c>
      <c r="E71" s="3" t="s">
        <v>172</v>
      </c>
      <c r="F71" s="3" t="s">
        <v>173</v>
      </c>
      <c r="G71" s="32"/>
      <c r="H71" s="32"/>
      <c r="I71" s="32"/>
      <c r="J71" s="32"/>
      <c r="K71" s="32"/>
      <c r="L71" s="30">
        <v>5842.5873369999999</v>
      </c>
      <c r="M71" s="30">
        <v>5880.2186689999999</v>
      </c>
      <c r="N71" s="30">
        <v>3113.2298519999999</v>
      </c>
      <c r="O71" s="30">
        <v>3135.9074089999999</v>
      </c>
      <c r="P71" s="30">
        <v>3133.6334000000002</v>
      </c>
      <c r="Q71" s="31">
        <v>1673.37291</v>
      </c>
      <c r="R71" s="31">
        <v>1660.130134</v>
      </c>
      <c r="S71" s="31">
        <v>881.45278199999996</v>
      </c>
      <c r="T71" s="31">
        <v>866.47128699999996</v>
      </c>
      <c r="U71" s="32"/>
      <c r="V71" s="32"/>
      <c r="W71" s="32"/>
      <c r="X71" s="32"/>
      <c r="Y71" s="30">
        <v>5865.5759939999998</v>
      </c>
      <c r="Z71" s="30">
        <v>5810.0614480000004</v>
      </c>
      <c r="AA71" s="30">
        <v>3082.5703549999998</v>
      </c>
      <c r="AB71" s="30">
        <v>3141.2825120000002</v>
      </c>
      <c r="AC71" s="30">
        <v>3122.911008</v>
      </c>
      <c r="AD71" s="31">
        <v>1661.8821</v>
      </c>
      <c r="AE71" s="31">
        <v>1648.151175</v>
      </c>
      <c r="AF71" s="31">
        <v>874.86151800000005</v>
      </c>
      <c r="AG71" s="31">
        <v>872.45867799999996</v>
      </c>
      <c r="AH71" s="31">
        <v>869.36828400000002</v>
      </c>
      <c r="AI71" s="32"/>
      <c r="AJ71" s="32"/>
      <c r="AK71" s="30">
        <v>5810.2227569999995</v>
      </c>
      <c r="AL71" s="30">
        <v>5863.3439790000002</v>
      </c>
      <c r="AM71" s="30">
        <v>3114.967748</v>
      </c>
      <c r="AN71" s="31">
        <v>1662.8639900000001</v>
      </c>
      <c r="AO71" s="31">
        <v>1657.266709</v>
      </c>
      <c r="AP71" s="31">
        <v>883.362886</v>
      </c>
      <c r="AQ71" s="31">
        <v>868.17018399999995</v>
      </c>
      <c r="AR71" s="32"/>
      <c r="AS71" s="32"/>
      <c r="AT71" s="30">
        <v>5835.4561540000004</v>
      </c>
      <c r="AU71" s="30">
        <v>5805.7378589999998</v>
      </c>
      <c r="AV71" s="31">
        <v>1644.056345</v>
      </c>
      <c r="AW71" s="31">
        <v>1642.3773590000001</v>
      </c>
      <c r="AX71" s="31">
        <v>874.48025299999995</v>
      </c>
      <c r="AY71" s="32"/>
      <c r="AZ71" s="32"/>
      <c r="BA71" s="30">
        <v>5779.3253029999996</v>
      </c>
      <c r="BB71" s="30">
        <v>5741.1138199999996</v>
      </c>
      <c r="BC71" s="31">
        <v>1637.3023390000001</v>
      </c>
      <c r="BD71" s="31">
        <v>1624.2863179999999</v>
      </c>
    </row>
    <row r="72" spans="1:56" x14ac:dyDescent="0.3">
      <c r="A72" s="43"/>
      <c r="B72" s="43"/>
      <c r="C72" s="10" t="s">
        <v>168</v>
      </c>
      <c r="D72" s="3" t="s">
        <v>174</v>
      </c>
      <c r="E72" s="3" t="s">
        <v>175</v>
      </c>
      <c r="F72" s="3" t="s">
        <v>154</v>
      </c>
      <c r="G72" s="32"/>
      <c r="H72" s="32"/>
      <c r="I72" s="32"/>
      <c r="J72" s="32"/>
      <c r="K72" s="32"/>
      <c r="L72" s="30">
        <v>21639212.358902998</v>
      </c>
      <c r="M72" s="30">
        <v>21778587.662002999</v>
      </c>
      <c r="N72" s="30">
        <v>11530480.932209</v>
      </c>
      <c r="O72" s="30">
        <v>11614471.886120001</v>
      </c>
      <c r="P72" s="30">
        <v>11606049.674000001</v>
      </c>
      <c r="Q72" s="31">
        <v>6197677.442818</v>
      </c>
      <c r="R72" s="31">
        <v>6148630.1268389998</v>
      </c>
      <c r="S72" s="31">
        <v>3264639.9347629999</v>
      </c>
      <c r="T72" s="31">
        <v>3209152.9155239998</v>
      </c>
      <c r="U72" s="32"/>
      <c r="V72" s="32"/>
      <c r="W72" s="32"/>
      <c r="X72" s="32"/>
      <c r="Y72" s="30">
        <v>21724355.533962999</v>
      </c>
      <c r="Z72" s="30">
        <v>21518746.105140999</v>
      </c>
      <c r="AA72" s="30">
        <v>11416927.242364001</v>
      </c>
      <c r="AB72" s="30">
        <v>11634379.672676999</v>
      </c>
      <c r="AC72" s="30">
        <v>11566337.065189</v>
      </c>
      <c r="AD72" s="31">
        <v>6155118.8891160004</v>
      </c>
      <c r="AE72" s="31">
        <v>6104263.6100420002</v>
      </c>
      <c r="AF72" s="31">
        <v>3240227.8457510001</v>
      </c>
      <c r="AG72" s="31">
        <v>3231328.4353129999</v>
      </c>
      <c r="AH72" s="31">
        <v>3219882.5329700001</v>
      </c>
      <c r="AI72" s="32"/>
      <c r="AJ72" s="32"/>
      <c r="AK72" s="30">
        <v>21519343.545444001</v>
      </c>
      <c r="AL72" s="30">
        <v>21716088.810853999</v>
      </c>
      <c r="AM72" s="30">
        <v>11536917.583859</v>
      </c>
      <c r="AN72" s="31">
        <v>6158755.5167739997</v>
      </c>
      <c r="AO72" s="31">
        <v>6138024.8470569998</v>
      </c>
      <c r="AP72" s="31">
        <v>3271714.3924540002</v>
      </c>
      <c r="AQ72" s="31">
        <v>3215445.1259949999</v>
      </c>
      <c r="AR72" s="32"/>
      <c r="AS72" s="32"/>
      <c r="AT72" s="30">
        <v>21612800.570250001</v>
      </c>
      <c r="AU72" s="30">
        <v>21502732.809744</v>
      </c>
      <c r="AV72" s="31">
        <v>6089097.5735330004</v>
      </c>
      <c r="AW72" s="31">
        <v>6082879.1062179999</v>
      </c>
      <c r="AX72" s="31">
        <v>3238815.751532</v>
      </c>
      <c r="AY72" s="32"/>
      <c r="AZ72" s="32"/>
      <c r="BA72" s="30">
        <v>21404908.530248001</v>
      </c>
      <c r="BB72" s="30">
        <v>21263384.52</v>
      </c>
      <c r="BC72" s="31">
        <v>6064082.7376300003</v>
      </c>
      <c r="BD72" s="31">
        <v>6015875.25</v>
      </c>
    </row>
    <row r="73" spans="1:56" x14ac:dyDescent="0.3">
      <c r="A73" s="43"/>
      <c r="B73" s="43"/>
      <c r="C73" s="10" t="s">
        <v>168</v>
      </c>
      <c r="D73" s="3" t="s">
        <v>71</v>
      </c>
      <c r="E73" s="3" t="s">
        <v>176</v>
      </c>
      <c r="F73" s="3" t="s">
        <v>73</v>
      </c>
      <c r="G73" s="32"/>
      <c r="H73" s="32"/>
      <c r="I73" s="32"/>
      <c r="J73" s="32"/>
      <c r="K73" s="32"/>
      <c r="L73" s="30">
        <v>1963693.1969580001</v>
      </c>
      <c r="M73" s="30">
        <v>2494404.2717860001</v>
      </c>
      <c r="N73" s="30">
        <v>1337310.6670329999</v>
      </c>
      <c r="O73" s="30">
        <v>1450977.904265</v>
      </c>
      <c r="P73" s="30">
        <v>1450977.9043000001</v>
      </c>
      <c r="Q73" s="31">
        <v>715725.53722099995</v>
      </c>
      <c r="R73" s="31">
        <v>699412.017445</v>
      </c>
      <c r="S73" s="31">
        <v>379931.73979700002</v>
      </c>
      <c r="T73" s="31">
        <v>292529.71584700001</v>
      </c>
      <c r="U73" s="32"/>
      <c r="V73" s="32"/>
      <c r="W73" s="32"/>
      <c r="X73" s="32"/>
      <c r="Y73" s="30">
        <v>1949297.5425160001</v>
      </c>
      <c r="Z73" s="30">
        <v>2203810.7063310002</v>
      </c>
      <c r="AA73" s="30">
        <v>1186989.968874</v>
      </c>
      <c r="AB73" s="30">
        <v>1379220.7325490001</v>
      </c>
      <c r="AC73" s="30">
        <v>1379220.7325490001</v>
      </c>
      <c r="AD73" s="31">
        <v>642728.84208199999</v>
      </c>
      <c r="AE73" s="31">
        <v>635204.68241699995</v>
      </c>
      <c r="AF73" s="31">
        <v>349032.26508899999</v>
      </c>
      <c r="AG73" s="31">
        <v>310708.41659500002</v>
      </c>
      <c r="AH73" s="31">
        <v>310708.41659500002</v>
      </c>
      <c r="AI73" s="32"/>
      <c r="AJ73" s="32"/>
      <c r="AK73" s="30">
        <v>1841581.998102</v>
      </c>
      <c r="AL73" s="30">
        <v>2688935.0552099999</v>
      </c>
      <c r="AM73" s="30">
        <v>1443562.859318</v>
      </c>
      <c r="AN73" s="31">
        <v>651263.59300899995</v>
      </c>
      <c r="AO73" s="31">
        <v>742830.49895100005</v>
      </c>
      <c r="AP73" s="31">
        <v>398213.90833000001</v>
      </c>
      <c r="AQ73" s="31">
        <v>309686.06244000001</v>
      </c>
      <c r="AR73" s="32"/>
      <c r="AS73" s="32"/>
      <c r="AT73" s="30">
        <v>1827038.007614</v>
      </c>
      <c r="AU73" s="30">
        <v>2021231.5097680001</v>
      </c>
      <c r="AV73" s="31">
        <v>535591.19736200001</v>
      </c>
      <c r="AW73" s="31">
        <v>567976.656464</v>
      </c>
      <c r="AX73" s="31">
        <v>291581.04593899997</v>
      </c>
      <c r="AY73" s="32"/>
      <c r="AZ73" s="32"/>
      <c r="BA73" s="30">
        <v>1765904.0548960001</v>
      </c>
      <c r="BB73" s="30">
        <v>1699128.9</v>
      </c>
      <c r="BC73" s="31">
        <v>531761.13948699995</v>
      </c>
      <c r="BD73" s="31">
        <v>480720.625</v>
      </c>
    </row>
    <row r="74" spans="1:56" x14ac:dyDescent="0.3">
      <c r="A74" s="43"/>
      <c r="B74" s="43"/>
      <c r="C74" s="10" t="s">
        <v>168</v>
      </c>
      <c r="D74" s="3" t="s">
        <v>74</v>
      </c>
      <c r="E74" s="3" t="s">
        <v>177</v>
      </c>
      <c r="F74" s="3" t="s">
        <v>76</v>
      </c>
      <c r="G74" s="32"/>
      <c r="H74" s="32"/>
      <c r="I74" s="32"/>
      <c r="J74" s="32"/>
      <c r="K74" s="32"/>
      <c r="L74" s="30">
        <v>39273.863939000003</v>
      </c>
      <c r="M74" s="30">
        <v>49888.085436000001</v>
      </c>
      <c r="N74" s="30">
        <v>26746.213340999999</v>
      </c>
      <c r="O74" s="30">
        <v>29019.558085000001</v>
      </c>
      <c r="P74" s="30">
        <v>29019.558099999998</v>
      </c>
      <c r="Q74" s="31">
        <v>14314.510743999999</v>
      </c>
      <c r="R74" s="31">
        <v>13988.240349</v>
      </c>
      <c r="S74" s="31">
        <v>7598.6347960000003</v>
      </c>
      <c r="T74" s="31">
        <v>5850.594317</v>
      </c>
      <c r="U74" s="32"/>
      <c r="V74" s="32"/>
      <c r="W74" s="32"/>
      <c r="X74" s="32"/>
      <c r="Y74" s="30">
        <v>38985.950850000001</v>
      </c>
      <c r="Z74" s="30">
        <v>44076.214126999999</v>
      </c>
      <c r="AA74" s="30">
        <v>23739.799376999999</v>
      </c>
      <c r="AB74" s="30">
        <v>27584.414650999999</v>
      </c>
      <c r="AC74" s="30">
        <v>27584.414650999999</v>
      </c>
      <c r="AD74" s="31">
        <v>12854.576842</v>
      </c>
      <c r="AE74" s="31">
        <v>12704.093648</v>
      </c>
      <c r="AF74" s="31">
        <v>6980.6453019999999</v>
      </c>
      <c r="AG74" s="31">
        <v>6214.1683320000002</v>
      </c>
      <c r="AH74" s="31">
        <v>6214.1683320000002</v>
      </c>
      <c r="AI74" s="32"/>
      <c r="AJ74" s="32"/>
      <c r="AK74" s="30">
        <v>36831.639962000001</v>
      </c>
      <c r="AL74" s="30">
        <v>53778.701104</v>
      </c>
      <c r="AM74" s="30">
        <v>28871.257185999999</v>
      </c>
      <c r="AN74" s="31">
        <v>13025.271860000001</v>
      </c>
      <c r="AO74" s="31">
        <v>14856.609979000001</v>
      </c>
      <c r="AP74" s="31">
        <v>7964.2781670000004</v>
      </c>
      <c r="AQ74" s="31">
        <v>6193.7212490000002</v>
      </c>
      <c r="AR74" s="32"/>
      <c r="AS74" s="32"/>
      <c r="AT74" s="30">
        <v>36540.760152000003</v>
      </c>
      <c r="AU74" s="30">
        <v>40424.630194999998</v>
      </c>
      <c r="AV74" s="31">
        <v>10711.823947000001</v>
      </c>
      <c r="AW74" s="31">
        <v>11359.533128999999</v>
      </c>
      <c r="AX74" s="31">
        <v>5831.620919</v>
      </c>
      <c r="AY74" s="32"/>
      <c r="AZ74" s="32"/>
      <c r="BA74" s="30">
        <v>35318.081098000002</v>
      </c>
      <c r="BB74" s="30">
        <v>33982.578000000001</v>
      </c>
      <c r="BC74" s="31">
        <v>10635.22279</v>
      </c>
      <c r="BD74" s="31">
        <v>9614.4125000000004</v>
      </c>
    </row>
    <row r="75" spans="1:56" x14ac:dyDescent="0.3">
      <c r="A75" s="43"/>
      <c r="B75" s="43"/>
      <c r="C75" s="10" t="s">
        <v>168</v>
      </c>
      <c r="D75" s="3" t="s">
        <v>77</v>
      </c>
      <c r="E75" s="3" t="s">
        <v>178</v>
      </c>
      <c r="F75" s="3" t="s">
        <v>76</v>
      </c>
      <c r="G75" s="32"/>
      <c r="H75" s="32"/>
      <c r="I75" s="32"/>
      <c r="J75" s="32"/>
      <c r="K75" s="32"/>
      <c r="L75" s="30">
        <v>157571.82257300001</v>
      </c>
      <c r="M75" s="30">
        <v>200157.45226799999</v>
      </c>
      <c r="N75" s="30">
        <v>107309.2678</v>
      </c>
      <c r="O75" s="30">
        <v>116430.220995</v>
      </c>
      <c r="P75" s="30">
        <v>116430.22100000001</v>
      </c>
      <c r="Q75" s="31">
        <v>57431.668825000001</v>
      </c>
      <c r="R75" s="31">
        <v>56122.629792</v>
      </c>
      <c r="S75" s="31">
        <v>30486.705757</v>
      </c>
      <c r="T75" s="31">
        <v>23473.341230000002</v>
      </c>
      <c r="U75" s="32"/>
      <c r="V75" s="32"/>
      <c r="W75" s="32"/>
      <c r="X75" s="32"/>
      <c r="Y75" s="30">
        <v>156416.67801599999</v>
      </c>
      <c r="Z75" s="30">
        <v>176839.472755</v>
      </c>
      <c r="AA75" s="30">
        <v>95247.146072000003</v>
      </c>
      <c r="AB75" s="30">
        <v>110672.239887</v>
      </c>
      <c r="AC75" s="30">
        <v>110672.239887</v>
      </c>
      <c r="AD75" s="31">
        <v>51574.225150999999</v>
      </c>
      <c r="AE75" s="31">
        <v>50970.467112999999</v>
      </c>
      <c r="AF75" s="31">
        <v>28007.251963999999</v>
      </c>
      <c r="AG75" s="31">
        <v>24932.047209</v>
      </c>
      <c r="AH75" s="31">
        <v>24932.047209</v>
      </c>
      <c r="AI75" s="32"/>
      <c r="AJ75" s="32"/>
      <c r="AK75" s="30">
        <v>147773.30405199999</v>
      </c>
      <c r="AL75" s="30">
        <v>215767.105618</v>
      </c>
      <c r="AM75" s="30">
        <v>115835.21860399999</v>
      </c>
      <c r="AN75" s="31">
        <v>52259.075645999998</v>
      </c>
      <c r="AO75" s="31">
        <v>59606.641080000001</v>
      </c>
      <c r="AP75" s="31">
        <v>31953.714260000001</v>
      </c>
      <c r="AQ75" s="31">
        <v>24850.010867000001</v>
      </c>
      <c r="AR75" s="32"/>
      <c r="AS75" s="32"/>
      <c r="AT75" s="30">
        <v>156713.02823</v>
      </c>
      <c r="AU75" s="30">
        <v>173369.852915</v>
      </c>
      <c r="AV75" s="31">
        <v>45939.995819999996</v>
      </c>
      <c r="AW75" s="31">
        <v>48717.838067999997</v>
      </c>
      <c r="AX75" s="31">
        <v>23397.217502</v>
      </c>
      <c r="AY75" s="32"/>
      <c r="AZ75" s="32"/>
      <c r="BA75" s="30">
        <v>177192.64881000001</v>
      </c>
      <c r="BB75" s="30">
        <v>170492.36034399999</v>
      </c>
      <c r="BC75" s="31">
        <v>53357.465586999999</v>
      </c>
      <c r="BD75" s="31">
        <v>48236.007298999997</v>
      </c>
    </row>
    <row r="76" spans="1:56" x14ac:dyDescent="0.3">
      <c r="A76" s="43"/>
      <c r="B76" s="43"/>
      <c r="C76" s="10" t="s">
        <v>168</v>
      </c>
      <c r="D76" s="3" t="s">
        <v>79</v>
      </c>
      <c r="E76" s="3" t="s">
        <v>179</v>
      </c>
      <c r="F76" s="3" t="s">
        <v>73</v>
      </c>
      <c r="G76" s="32"/>
      <c r="H76" s="32"/>
      <c r="I76" s="32"/>
      <c r="J76" s="32"/>
      <c r="K76" s="32"/>
      <c r="L76" s="30">
        <v>3151436.4514540001</v>
      </c>
      <c r="M76" s="30">
        <v>4003149.0453530001</v>
      </c>
      <c r="N76" s="30">
        <v>2146185.3560080002</v>
      </c>
      <c r="O76" s="30">
        <v>2328604.4198949998</v>
      </c>
      <c r="P76" s="30">
        <v>2328604.4199000001</v>
      </c>
      <c r="Q76" s="31">
        <v>1148633.3765</v>
      </c>
      <c r="R76" s="31">
        <v>1122452.5958410001</v>
      </c>
      <c r="S76" s="31">
        <v>609734.11514400004</v>
      </c>
      <c r="T76" s="31">
        <v>469466.82459500001</v>
      </c>
      <c r="U76" s="32"/>
      <c r="V76" s="32"/>
      <c r="W76" s="32"/>
      <c r="X76" s="32"/>
      <c r="Y76" s="30">
        <v>3128333.5603189999</v>
      </c>
      <c r="Z76" s="30">
        <v>3536789.4550910001</v>
      </c>
      <c r="AA76" s="30">
        <v>1904942.9214359999</v>
      </c>
      <c r="AB76" s="30">
        <v>2213444.797735</v>
      </c>
      <c r="AC76" s="30">
        <v>2213444.797735</v>
      </c>
      <c r="AD76" s="31">
        <v>1031484.503015</v>
      </c>
      <c r="AE76" s="31">
        <v>1019409.342256</v>
      </c>
      <c r="AF76" s="31">
        <v>560145.03927499999</v>
      </c>
      <c r="AG76" s="31">
        <v>498640.94419000001</v>
      </c>
      <c r="AH76" s="31">
        <v>498640.94419000001</v>
      </c>
      <c r="AI76" s="32"/>
      <c r="AJ76" s="32"/>
      <c r="AK76" s="30">
        <v>2955466.0810309998</v>
      </c>
      <c r="AL76" s="30">
        <v>4315342.1123559996</v>
      </c>
      <c r="AM76" s="30">
        <v>2316704.3720809999</v>
      </c>
      <c r="AN76" s="31">
        <v>1045181.512923</v>
      </c>
      <c r="AO76" s="31">
        <v>1192132.8215999999</v>
      </c>
      <c r="AP76" s="31">
        <v>639074.285194</v>
      </c>
      <c r="AQ76" s="31">
        <v>497000.21734199999</v>
      </c>
      <c r="AR76" s="32"/>
      <c r="AS76" s="32"/>
      <c r="AT76" s="30">
        <v>3134260.564609</v>
      </c>
      <c r="AU76" s="30">
        <v>3467397.0583060002</v>
      </c>
      <c r="AV76" s="31">
        <v>918799.91639400006</v>
      </c>
      <c r="AW76" s="31">
        <v>974356.76135599997</v>
      </c>
      <c r="AX76" s="31">
        <v>467944.35003799998</v>
      </c>
      <c r="AY76" s="32"/>
      <c r="AZ76" s="32"/>
      <c r="BA76" s="30">
        <v>3543852.9761930001</v>
      </c>
      <c r="BB76" s="30">
        <v>3409847.2068770002</v>
      </c>
      <c r="BC76" s="31">
        <v>1067149.3117480001</v>
      </c>
      <c r="BD76" s="31">
        <v>964720.14597900002</v>
      </c>
    </row>
    <row r="77" spans="1:56" x14ac:dyDescent="0.3">
      <c r="A77" s="43"/>
      <c r="B77" s="43"/>
      <c r="C77" s="10" t="s">
        <v>168</v>
      </c>
      <c r="D77" s="3" t="s">
        <v>81</v>
      </c>
      <c r="E77" s="3" t="s">
        <v>180</v>
      </c>
      <c r="F77" s="3" t="s">
        <v>76</v>
      </c>
      <c r="G77" s="32"/>
      <c r="H77" s="32"/>
      <c r="I77" s="32"/>
      <c r="J77" s="32"/>
      <c r="K77" s="32"/>
      <c r="L77" s="30">
        <v>196845.68651199999</v>
      </c>
      <c r="M77" s="30">
        <v>250045.53770300001</v>
      </c>
      <c r="N77" s="30">
        <v>134055.481141</v>
      </c>
      <c r="O77" s="30">
        <v>145449.77908000001</v>
      </c>
      <c r="P77" s="30">
        <v>145449.77910000001</v>
      </c>
      <c r="Q77" s="31">
        <v>71746.179569</v>
      </c>
      <c r="R77" s="31">
        <v>70110.870141000007</v>
      </c>
      <c r="S77" s="31">
        <v>38085.340553000002</v>
      </c>
      <c r="T77" s="31">
        <v>29323.935547000001</v>
      </c>
      <c r="U77" s="32"/>
      <c r="V77" s="32"/>
      <c r="W77" s="32"/>
      <c r="X77" s="32"/>
      <c r="Y77" s="30">
        <v>195402.62886600001</v>
      </c>
      <c r="Z77" s="30">
        <v>220915.686881</v>
      </c>
      <c r="AA77" s="30">
        <v>118986.94544900001</v>
      </c>
      <c r="AB77" s="30">
        <v>138256.654538</v>
      </c>
      <c r="AC77" s="30">
        <v>138256.654538</v>
      </c>
      <c r="AD77" s="31">
        <v>64428.801992000001</v>
      </c>
      <c r="AE77" s="31">
        <v>63674.560761000001</v>
      </c>
      <c r="AF77" s="31">
        <v>34987.897266</v>
      </c>
      <c r="AG77" s="31">
        <v>31146.215541000001</v>
      </c>
      <c r="AH77" s="31">
        <v>31146.215541000001</v>
      </c>
      <c r="AI77" s="32"/>
      <c r="AJ77" s="32"/>
      <c r="AK77" s="30">
        <v>184604.94401400001</v>
      </c>
      <c r="AL77" s="30">
        <v>269545.80672200001</v>
      </c>
      <c r="AM77" s="30">
        <v>144706.47579</v>
      </c>
      <c r="AN77" s="31">
        <v>65284.347505999998</v>
      </c>
      <c r="AO77" s="31">
        <v>74463.251059000002</v>
      </c>
      <c r="AP77" s="31">
        <v>39917.992425999997</v>
      </c>
      <c r="AQ77" s="31">
        <v>31043.732115999999</v>
      </c>
      <c r="AR77" s="32"/>
      <c r="AS77" s="32"/>
      <c r="AT77" s="30">
        <v>193253.78838300001</v>
      </c>
      <c r="AU77" s="30">
        <v>213794.48311100001</v>
      </c>
      <c r="AV77" s="31">
        <v>56651.819767000001</v>
      </c>
      <c r="AW77" s="31">
        <v>60077.371197</v>
      </c>
      <c r="AX77" s="31">
        <v>29228.838421</v>
      </c>
      <c r="AY77" s="32"/>
      <c r="AZ77" s="32"/>
      <c r="BA77" s="30">
        <v>212510.72990800001</v>
      </c>
      <c r="BB77" s="30">
        <v>204474.93834399999</v>
      </c>
      <c r="BC77" s="31">
        <v>63992.688376999999</v>
      </c>
      <c r="BD77" s="31">
        <v>57850.419799000003</v>
      </c>
    </row>
    <row r="78" spans="1:56" x14ac:dyDescent="0.3">
      <c r="A78" s="43"/>
      <c r="B78" s="44"/>
      <c r="C78" s="12"/>
      <c r="D78" s="7"/>
      <c r="E78" s="7"/>
      <c r="F78" s="7"/>
      <c r="G78" s="32"/>
      <c r="H78" s="32"/>
      <c r="I78" s="32"/>
      <c r="J78" s="32"/>
      <c r="K78" s="32"/>
      <c r="L78" s="33"/>
      <c r="M78" s="33"/>
      <c r="N78" s="33"/>
      <c r="O78" s="33"/>
      <c r="P78" s="33"/>
      <c r="Q78" s="34"/>
      <c r="R78" s="34"/>
      <c r="S78" s="34"/>
      <c r="T78" s="34"/>
      <c r="U78" s="32"/>
      <c r="V78" s="32"/>
      <c r="W78" s="32"/>
      <c r="X78" s="32"/>
      <c r="Y78" s="33"/>
      <c r="Z78" s="33"/>
      <c r="AA78" s="33"/>
      <c r="AB78" s="33"/>
      <c r="AC78" s="33"/>
      <c r="AD78" s="34"/>
      <c r="AE78" s="34"/>
      <c r="AF78" s="34"/>
      <c r="AG78" s="34"/>
      <c r="AH78" s="34"/>
      <c r="AI78" s="32"/>
      <c r="AJ78" s="32"/>
      <c r="AK78" s="33"/>
      <c r="AL78" s="33"/>
      <c r="AM78" s="33"/>
      <c r="AN78" s="34"/>
      <c r="AO78" s="34"/>
      <c r="AP78" s="34"/>
      <c r="AQ78" s="34"/>
      <c r="AR78" s="32"/>
      <c r="AS78" s="32"/>
      <c r="AT78" s="33"/>
      <c r="AU78" s="33"/>
      <c r="AV78" s="34"/>
      <c r="AW78" s="34"/>
      <c r="AX78" s="34"/>
      <c r="AY78" s="32"/>
      <c r="AZ78" s="32"/>
      <c r="BA78" s="33"/>
      <c r="BB78" s="33"/>
      <c r="BC78" s="34"/>
      <c r="BD78" s="34"/>
    </row>
    <row r="79" spans="1:56" ht="14.4" customHeight="1" x14ac:dyDescent="0.3">
      <c r="A79" s="43"/>
      <c r="B79" s="42" t="s">
        <v>181</v>
      </c>
      <c r="C79" s="13" t="s">
        <v>182</v>
      </c>
      <c r="D79" s="6" t="s">
        <v>59</v>
      </c>
      <c r="E79" s="6" t="s">
        <v>183</v>
      </c>
      <c r="F79" s="6" t="s">
        <v>86</v>
      </c>
      <c r="G79" s="32"/>
      <c r="H79" s="32"/>
      <c r="I79" s="32"/>
      <c r="J79" s="32"/>
      <c r="K79" s="32"/>
      <c r="L79" s="30">
        <v>768.56237299999998</v>
      </c>
      <c r="M79" s="30">
        <v>768.56237299999998</v>
      </c>
      <c r="N79" s="33"/>
      <c r="O79" s="33"/>
      <c r="P79" s="33"/>
      <c r="Q79" s="31">
        <v>768.56237299999998</v>
      </c>
      <c r="R79" s="31">
        <v>768.56237299999998</v>
      </c>
      <c r="S79" s="34"/>
      <c r="T79" s="34"/>
      <c r="U79" s="32"/>
      <c r="V79" s="32"/>
      <c r="W79" s="32"/>
      <c r="X79" s="32"/>
      <c r="Y79" s="30">
        <v>768.56237299999998</v>
      </c>
      <c r="Z79" s="30">
        <v>768.56237299999998</v>
      </c>
      <c r="AA79" s="33"/>
      <c r="AB79" s="33"/>
      <c r="AC79" s="33"/>
      <c r="AD79" s="31">
        <v>768.56237299999998</v>
      </c>
      <c r="AE79" s="31">
        <v>768.56237299999998</v>
      </c>
      <c r="AF79" s="34"/>
      <c r="AG79" s="34"/>
      <c r="AH79" s="34"/>
      <c r="AI79" s="32"/>
      <c r="AJ79" s="32"/>
      <c r="AK79" s="30">
        <v>768.56237299999998</v>
      </c>
      <c r="AL79" s="30">
        <v>768.56237299999998</v>
      </c>
      <c r="AM79" s="33"/>
      <c r="AN79" s="31">
        <v>768.56237299999998</v>
      </c>
      <c r="AO79" s="31">
        <v>768.56237299999998</v>
      </c>
      <c r="AP79" s="34"/>
      <c r="AQ79" s="34"/>
      <c r="AR79" s="32"/>
      <c r="AS79" s="32"/>
      <c r="AT79" s="30">
        <v>807.84708999999998</v>
      </c>
      <c r="AU79" s="30">
        <v>807.84708999999998</v>
      </c>
      <c r="AV79" s="31">
        <v>807.84708999999998</v>
      </c>
      <c r="AW79" s="31">
        <v>807.84708999999998</v>
      </c>
      <c r="AX79" s="34"/>
      <c r="AY79" s="32"/>
      <c r="AZ79" s="32"/>
      <c r="BA79" s="30">
        <v>909.83468700000003</v>
      </c>
      <c r="BB79" s="30">
        <v>909.83468700000003</v>
      </c>
      <c r="BC79" s="31">
        <v>909.83468700000003</v>
      </c>
      <c r="BD79" s="31">
        <v>909.83468700000003</v>
      </c>
    </row>
    <row r="80" spans="1:56" x14ac:dyDescent="0.3">
      <c r="A80" s="43"/>
      <c r="B80" s="43"/>
      <c r="C80" s="14" t="s">
        <v>182</v>
      </c>
      <c r="D80" s="3" t="s">
        <v>62</v>
      </c>
      <c r="E80" s="3" t="s">
        <v>184</v>
      </c>
      <c r="F80" s="3" t="s">
        <v>121</v>
      </c>
      <c r="G80" s="32"/>
      <c r="H80" s="32"/>
      <c r="I80" s="32"/>
      <c r="J80" s="32"/>
      <c r="K80" s="32"/>
      <c r="L80" s="30">
        <v>693.52200000000005</v>
      </c>
      <c r="M80" s="30">
        <v>693.52200000000005</v>
      </c>
      <c r="N80" s="33"/>
      <c r="O80" s="33"/>
      <c r="P80" s="33"/>
      <c r="Q80" s="31">
        <v>196.21250000000001</v>
      </c>
      <c r="R80" s="31">
        <v>196.21250000000001</v>
      </c>
      <c r="S80" s="34"/>
      <c r="T80" s="34"/>
      <c r="U80" s="32"/>
      <c r="V80" s="32"/>
      <c r="W80" s="32"/>
      <c r="X80" s="32"/>
      <c r="Y80" s="30">
        <v>693.52200000000005</v>
      </c>
      <c r="Z80" s="30">
        <v>693.52200000000005</v>
      </c>
      <c r="AA80" s="33"/>
      <c r="AB80" s="33"/>
      <c r="AC80" s="33"/>
      <c r="AD80" s="31">
        <v>196.21250000000001</v>
      </c>
      <c r="AE80" s="31">
        <v>196.21250000000001</v>
      </c>
      <c r="AF80" s="34"/>
      <c r="AG80" s="34"/>
      <c r="AH80" s="34"/>
      <c r="AI80" s="32"/>
      <c r="AJ80" s="32"/>
      <c r="AK80" s="30">
        <v>693.52200000000005</v>
      </c>
      <c r="AL80" s="30">
        <v>693.52200000000005</v>
      </c>
      <c r="AM80" s="33"/>
      <c r="AN80" s="31">
        <v>196.21250000000001</v>
      </c>
      <c r="AO80" s="31">
        <v>196.21250000000001</v>
      </c>
      <c r="AP80" s="34"/>
      <c r="AQ80" s="34"/>
      <c r="AR80" s="32"/>
      <c r="AS80" s="32"/>
      <c r="AT80" s="30">
        <v>693.52200000000005</v>
      </c>
      <c r="AU80" s="30">
        <v>693.52200000000005</v>
      </c>
      <c r="AV80" s="31">
        <v>196.21250000000001</v>
      </c>
      <c r="AW80" s="31">
        <v>196.21250000000001</v>
      </c>
      <c r="AX80" s="34"/>
      <c r="AY80" s="32"/>
      <c r="AZ80" s="32"/>
      <c r="BA80" s="30">
        <v>693.52200000000005</v>
      </c>
      <c r="BB80" s="30">
        <v>693.52200000000005</v>
      </c>
      <c r="BC80" s="31">
        <v>196.21250000000001</v>
      </c>
      <c r="BD80" s="31">
        <v>196.21250000000001</v>
      </c>
    </row>
    <row r="81" spans="1:56" x14ac:dyDescent="0.3">
      <c r="A81" s="43"/>
      <c r="B81" s="43"/>
      <c r="C81" s="14" t="s">
        <v>182</v>
      </c>
      <c r="D81" s="3" t="s">
        <v>65</v>
      </c>
      <c r="E81" s="3" t="s">
        <v>185</v>
      </c>
      <c r="F81" s="3" t="s">
        <v>67</v>
      </c>
      <c r="G81" s="32"/>
      <c r="H81" s="32"/>
      <c r="I81" s="32"/>
      <c r="J81" s="32"/>
      <c r="K81" s="32"/>
      <c r="L81" s="30">
        <v>6075.2527200000004</v>
      </c>
      <c r="M81" s="30">
        <v>6075.2527200000004</v>
      </c>
      <c r="N81" s="33"/>
      <c r="O81" s="33"/>
      <c r="P81" s="33"/>
      <c r="Q81" s="31">
        <v>1718.8215</v>
      </c>
      <c r="R81" s="31">
        <v>1718.8215</v>
      </c>
      <c r="S81" s="34"/>
      <c r="T81" s="34"/>
      <c r="U81" s="32"/>
      <c r="V81" s="32"/>
      <c r="W81" s="32"/>
      <c r="X81" s="32"/>
      <c r="Y81" s="30">
        <v>6075.2527200000004</v>
      </c>
      <c r="Z81" s="30">
        <v>6075.2527200000004</v>
      </c>
      <c r="AA81" s="33"/>
      <c r="AB81" s="33"/>
      <c r="AC81" s="33"/>
      <c r="AD81" s="31">
        <v>1718.8215</v>
      </c>
      <c r="AE81" s="31">
        <v>1718.8215</v>
      </c>
      <c r="AF81" s="34"/>
      <c r="AG81" s="34"/>
      <c r="AH81" s="34"/>
      <c r="AI81" s="32"/>
      <c r="AJ81" s="32"/>
      <c r="AK81" s="30">
        <v>6075.2527200000004</v>
      </c>
      <c r="AL81" s="30">
        <v>6075.2527200000004</v>
      </c>
      <c r="AM81" s="33"/>
      <c r="AN81" s="31">
        <v>1718.8215</v>
      </c>
      <c r="AO81" s="31">
        <v>1718.8215</v>
      </c>
      <c r="AP81" s="34"/>
      <c r="AQ81" s="34"/>
      <c r="AR81" s="32"/>
      <c r="AS81" s="32"/>
      <c r="AT81" s="30">
        <v>6075.2527200000004</v>
      </c>
      <c r="AU81" s="30">
        <v>6075.2527200000004</v>
      </c>
      <c r="AV81" s="31">
        <v>1718.8215</v>
      </c>
      <c r="AW81" s="31">
        <v>1718.8215</v>
      </c>
      <c r="AX81" s="34"/>
      <c r="AY81" s="32"/>
      <c r="AZ81" s="32"/>
      <c r="BA81" s="30">
        <v>6075.2527200000004</v>
      </c>
      <c r="BB81" s="30">
        <v>6075.2527200000004</v>
      </c>
      <c r="BC81" s="31">
        <v>1718.8215</v>
      </c>
      <c r="BD81" s="31">
        <v>1718.8215</v>
      </c>
    </row>
    <row r="82" spans="1:56" x14ac:dyDescent="0.3">
      <c r="A82" s="43"/>
      <c r="B82" s="43"/>
      <c r="C82" s="14" t="s">
        <v>182</v>
      </c>
      <c r="D82" s="3" t="s">
        <v>152</v>
      </c>
      <c r="E82" s="3" t="s">
        <v>186</v>
      </c>
      <c r="F82" s="3" t="s">
        <v>154</v>
      </c>
      <c r="G82" s="32"/>
      <c r="H82" s="32"/>
      <c r="I82" s="32"/>
      <c r="J82" s="32"/>
      <c r="K82" s="32"/>
      <c r="L82" s="30">
        <v>21263384.52</v>
      </c>
      <c r="M82" s="30">
        <v>21263384.52</v>
      </c>
      <c r="N82" s="33"/>
      <c r="O82" s="33"/>
      <c r="P82" s="33"/>
      <c r="Q82" s="31">
        <v>6015875.25</v>
      </c>
      <c r="R82" s="31">
        <v>6015875.25</v>
      </c>
      <c r="S82" s="34"/>
      <c r="T82" s="34"/>
      <c r="U82" s="32"/>
      <c r="V82" s="32"/>
      <c r="W82" s="32"/>
      <c r="X82" s="32"/>
      <c r="Y82" s="30">
        <v>21263384.52</v>
      </c>
      <c r="Z82" s="30">
        <v>21263384.52</v>
      </c>
      <c r="AA82" s="33"/>
      <c r="AB82" s="33"/>
      <c r="AC82" s="33"/>
      <c r="AD82" s="31">
        <v>6015875.25</v>
      </c>
      <c r="AE82" s="31">
        <v>6015875.25</v>
      </c>
      <c r="AF82" s="34"/>
      <c r="AG82" s="34"/>
      <c r="AH82" s="34"/>
      <c r="AI82" s="32"/>
      <c r="AJ82" s="32"/>
      <c r="AK82" s="30">
        <v>21263384.52</v>
      </c>
      <c r="AL82" s="30">
        <v>21263384.52</v>
      </c>
      <c r="AM82" s="33"/>
      <c r="AN82" s="31">
        <v>6015875.25</v>
      </c>
      <c r="AO82" s="31">
        <v>6015875.25</v>
      </c>
      <c r="AP82" s="34"/>
      <c r="AQ82" s="34"/>
      <c r="AR82" s="32"/>
      <c r="AS82" s="32"/>
      <c r="AT82" s="30">
        <v>21263384.52</v>
      </c>
      <c r="AU82" s="30">
        <v>21263384.52</v>
      </c>
      <c r="AV82" s="31">
        <v>6015875.25</v>
      </c>
      <c r="AW82" s="31">
        <v>6015875.25</v>
      </c>
      <c r="AX82" s="34"/>
      <c r="AY82" s="32"/>
      <c r="AZ82" s="32"/>
      <c r="BA82" s="30">
        <v>21263384.52</v>
      </c>
      <c r="BB82" s="30">
        <v>21263384.52</v>
      </c>
      <c r="BC82" s="31">
        <v>6015875.25</v>
      </c>
      <c r="BD82" s="31">
        <v>6015875.25</v>
      </c>
    </row>
    <row r="83" spans="1:56" x14ac:dyDescent="0.3">
      <c r="A83" s="43"/>
      <c r="B83" s="43"/>
      <c r="C83" s="14" t="s">
        <v>182</v>
      </c>
      <c r="D83" s="3" t="s">
        <v>158</v>
      </c>
      <c r="E83" s="3" t="s">
        <v>187</v>
      </c>
      <c r="F83" s="3" t="s">
        <v>94</v>
      </c>
      <c r="G83" s="32"/>
      <c r="H83" s="32"/>
      <c r="I83" s="32"/>
      <c r="J83" s="32"/>
      <c r="K83" s="32"/>
      <c r="L83" s="30">
        <v>12150505.439999999</v>
      </c>
      <c r="M83" s="30">
        <v>12150505.439999999</v>
      </c>
      <c r="N83" s="33"/>
      <c r="O83" s="33"/>
      <c r="P83" s="33"/>
      <c r="Q83" s="31">
        <v>3437643</v>
      </c>
      <c r="R83" s="31">
        <v>3437643</v>
      </c>
      <c r="S83" s="34"/>
      <c r="T83" s="34"/>
      <c r="U83" s="32"/>
      <c r="V83" s="32"/>
      <c r="W83" s="32"/>
      <c r="X83" s="32"/>
      <c r="Y83" s="30">
        <v>12150505.439999999</v>
      </c>
      <c r="Z83" s="30">
        <v>12150505.439999999</v>
      </c>
      <c r="AA83" s="33"/>
      <c r="AB83" s="33"/>
      <c r="AC83" s="33"/>
      <c r="AD83" s="31">
        <v>3437643</v>
      </c>
      <c r="AE83" s="31">
        <v>3437643</v>
      </c>
      <c r="AF83" s="34"/>
      <c r="AG83" s="34"/>
      <c r="AH83" s="34"/>
      <c r="AI83" s="32"/>
      <c r="AJ83" s="32"/>
      <c r="AK83" s="30">
        <v>12150505.439999999</v>
      </c>
      <c r="AL83" s="30">
        <v>12150505.439999999</v>
      </c>
      <c r="AM83" s="33"/>
      <c r="AN83" s="31">
        <v>3437643</v>
      </c>
      <c r="AO83" s="31">
        <v>3437643</v>
      </c>
      <c r="AP83" s="34"/>
      <c r="AQ83" s="34"/>
      <c r="AR83" s="32"/>
      <c r="AS83" s="32"/>
      <c r="AT83" s="30">
        <v>12150505.439999999</v>
      </c>
      <c r="AU83" s="30">
        <v>12150505.439999999</v>
      </c>
      <c r="AV83" s="31">
        <v>3437643</v>
      </c>
      <c r="AW83" s="31">
        <v>3437643</v>
      </c>
      <c r="AX83" s="34"/>
      <c r="AY83" s="32"/>
      <c r="AZ83" s="32"/>
      <c r="BA83" s="30">
        <v>12150505.439999999</v>
      </c>
      <c r="BB83" s="30">
        <v>12150505.439999999</v>
      </c>
      <c r="BC83" s="31">
        <v>3437643</v>
      </c>
      <c r="BD83" s="31">
        <v>3437643</v>
      </c>
    </row>
    <row r="84" spans="1:56" x14ac:dyDescent="0.3">
      <c r="A84" s="43"/>
      <c r="B84" s="43"/>
      <c r="C84" s="14" t="s">
        <v>182</v>
      </c>
      <c r="D84" s="3" t="s">
        <v>71</v>
      </c>
      <c r="E84" s="3" t="s">
        <v>188</v>
      </c>
      <c r="F84" s="3" t="s">
        <v>73</v>
      </c>
      <c r="G84" s="32"/>
      <c r="H84" s="32"/>
      <c r="I84" s="32"/>
      <c r="J84" s="32"/>
      <c r="K84" s="32"/>
      <c r="L84" s="30">
        <v>9709308</v>
      </c>
      <c r="M84" s="30">
        <v>9709308</v>
      </c>
      <c r="N84" s="33"/>
      <c r="O84" s="33"/>
      <c r="P84" s="33"/>
      <c r="Q84" s="31">
        <v>2746975</v>
      </c>
      <c r="R84" s="31">
        <v>2746975</v>
      </c>
      <c r="S84" s="34"/>
      <c r="T84" s="34"/>
      <c r="U84" s="32"/>
      <c r="V84" s="32"/>
      <c r="W84" s="32"/>
      <c r="X84" s="32"/>
      <c r="Y84" s="30">
        <v>9709308</v>
      </c>
      <c r="Z84" s="30">
        <v>9709308</v>
      </c>
      <c r="AA84" s="33"/>
      <c r="AB84" s="33"/>
      <c r="AC84" s="33"/>
      <c r="AD84" s="31">
        <v>2746975</v>
      </c>
      <c r="AE84" s="31">
        <v>2746975</v>
      </c>
      <c r="AF84" s="34"/>
      <c r="AG84" s="34"/>
      <c r="AH84" s="34"/>
      <c r="AI84" s="32"/>
      <c r="AJ84" s="32"/>
      <c r="AK84" s="30">
        <v>9709308</v>
      </c>
      <c r="AL84" s="30">
        <v>9709308</v>
      </c>
      <c r="AM84" s="33"/>
      <c r="AN84" s="31">
        <v>2746975</v>
      </c>
      <c r="AO84" s="31">
        <v>2746975</v>
      </c>
      <c r="AP84" s="34"/>
      <c r="AQ84" s="34"/>
      <c r="AR84" s="32"/>
      <c r="AS84" s="32"/>
      <c r="AT84" s="30">
        <v>9709308</v>
      </c>
      <c r="AU84" s="30">
        <v>9709308</v>
      </c>
      <c r="AV84" s="31">
        <v>2746975</v>
      </c>
      <c r="AW84" s="31">
        <v>2746975</v>
      </c>
      <c r="AX84" s="34"/>
      <c r="AY84" s="32"/>
      <c r="AZ84" s="32"/>
      <c r="BA84" s="30">
        <v>9709308</v>
      </c>
      <c r="BB84" s="30">
        <v>9709308</v>
      </c>
      <c r="BC84" s="31">
        <v>2746975</v>
      </c>
      <c r="BD84" s="31">
        <v>2746975</v>
      </c>
    </row>
    <row r="85" spans="1:56" x14ac:dyDescent="0.3">
      <c r="A85" s="43"/>
      <c r="B85" s="43"/>
      <c r="C85" s="14" t="s">
        <v>182</v>
      </c>
      <c r="D85" s="3" t="s">
        <v>74</v>
      </c>
      <c r="E85" s="3" t="s">
        <v>189</v>
      </c>
      <c r="F85" s="3" t="s">
        <v>76</v>
      </c>
      <c r="G85" s="32"/>
      <c r="H85" s="32"/>
      <c r="I85" s="32"/>
      <c r="J85" s="32"/>
      <c r="K85" s="32"/>
      <c r="L85" s="30">
        <v>485465.4</v>
      </c>
      <c r="M85" s="30">
        <v>485465.4</v>
      </c>
      <c r="N85" s="33"/>
      <c r="O85" s="33"/>
      <c r="P85" s="33"/>
      <c r="Q85" s="31">
        <v>137348.75</v>
      </c>
      <c r="R85" s="31">
        <v>137348.75</v>
      </c>
      <c r="S85" s="34"/>
      <c r="T85" s="34"/>
      <c r="U85" s="32"/>
      <c r="V85" s="32"/>
      <c r="W85" s="32"/>
      <c r="X85" s="32"/>
      <c r="Y85" s="30">
        <v>485465.4</v>
      </c>
      <c r="Z85" s="30">
        <v>485465.4</v>
      </c>
      <c r="AA85" s="33"/>
      <c r="AB85" s="33"/>
      <c r="AC85" s="33"/>
      <c r="AD85" s="31">
        <v>137348.75</v>
      </c>
      <c r="AE85" s="31">
        <v>137348.75</v>
      </c>
      <c r="AF85" s="34"/>
      <c r="AG85" s="34"/>
      <c r="AH85" s="34"/>
      <c r="AI85" s="32"/>
      <c r="AJ85" s="32"/>
      <c r="AK85" s="30">
        <v>485465.4</v>
      </c>
      <c r="AL85" s="30">
        <v>485465.4</v>
      </c>
      <c r="AM85" s="33"/>
      <c r="AN85" s="31">
        <v>137348.75</v>
      </c>
      <c r="AO85" s="31">
        <v>137348.75</v>
      </c>
      <c r="AP85" s="34"/>
      <c r="AQ85" s="34"/>
      <c r="AR85" s="32"/>
      <c r="AS85" s="32"/>
      <c r="AT85" s="30">
        <v>485465.4</v>
      </c>
      <c r="AU85" s="30">
        <v>485465.4</v>
      </c>
      <c r="AV85" s="31">
        <v>137348.75</v>
      </c>
      <c r="AW85" s="31">
        <v>137348.75</v>
      </c>
      <c r="AX85" s="34"/>
      <c r="AY85" s="32"/>
      <c r="AZ85" s="32"/>
      <c r="BA85" s="30">
        <v>485465.4</v>
      </c>
      <c r="BB85" s="30">
        <v>485465.4</v>
      </c>
      <c r="BC85" s="31">
        <v>137348.75</v>
      </c>
      <c r="BD85" s="31">
        <v>137348.75</v>
      </c>
    </row>
    <row r="86" spans="1:56" x14ac:dyDescent="0.3">
      <c r="A86" s="43"/>
      <c r="B86" s="43"/>
      <c r="C86" s="14" t="s">
        <v>182</v>
      </c>
      <c r="D86" s="3" t="s">
        <v>77</v>
      </c>
      <c r="E86" s="3" t="s">
        <v>190</v>
      </c>
      <c r="F86" s="3" t="s">
        <v>76</v>
      </c>
      <c r="G86" s="32"/>
      <c r="H86" s="32"/>
      <c r="I86" s="32"/>
      <c r="J86" s="32"/>
      <c r="K86" s="32"/>
      <c r="L86" s="30">
        <v>1066029.827966</v>
      </c>
      <c r="M86" s="30">
        <v>1066029.827966</v>
      </c>
      <c r="N86" s="33"/>
      <c r="O86" s="33"/>
      <c r="P86" s="33"/>
      <c r="Q86" s="31">
        <v>301603.08918800001</v>
      </c>
      <c r="R86" s="31">
        <v>301603.08918800001</v>
      </c>
      <c r="S86" s="34"/>
      <c r="T86" s="34"/>
      <c r="U86" s="32"/>
      <c r="V86" s="32"/>
      <c r="W86" s="32"/>
      <c r="X86" s="32"/>
      <c r="Y86" s="30">
        <v>1066029.827966</v>
      </c>
      <c r="Z86" s="30">
        <v>1066029.827966</v>
      </c>
      <c r="AA86" s="33"/>
      <c r="AB86" s="33"/>
      <c r="AC86" s="33"/>
      <c r="AD86" s="31">
        <v>301603.08918800001</v>
      </c>
      <c r="AE86" s="31">
        <v>301603.08918800001</v>
      </c>
      <c r="AF86" s="34"/>
      <c r="AG86" s="34"/>
      <c r="AH86" s="34"/>
      <c r="AI86" s="32"/>
      <c r="AJ86" s="32"/>
      <c r="AK86" s="30">
        <v>1066029.827966</v>
      </c>
      <c r="AL86" s="30">
        <v>1066029.827966</v>
      </c>
      <c r="AM86" s="33"/>
      <c r="AN86" s="31">
        <v>301603.08918800001</v>
      </c>
      <c r="AO86" s="31">
        <v>301603.08918800001</v>
      </c>
      <c r="AP86" s="34"/>
      <c r="AQ86" s="34"/>
      <c r="AR86" s="32"/>
      <c r="AS86" s="32"/>
      <c r="AT86" s="30">
        <v>1120519.459548</v>
      </c>
      <c r="AU86" s="30">
        <v>1120519.459548</v>
      </c>
      <c r="AV86" s="31">
        <v>317019.39441900002</v>
      </c>
      <c r="AW86" s="31">
        <v>317019.39441900002</v>
      </c>
      <c r="AX86" s="34"/>
      <c r="AY86" s="32"/>
      <c r="AZ86" s="32"/>
      <c r="BA86" s="30">
        <v>1261980.743237</v>
      </c>
      <c r="BB86" s="30">
        <v>1261980.743237</v>
      </c>
      <c r="BC86" s="31">
        <v>357041.87694500003</v>
      </c>
      <c r="BD86" s="31">
        <v>357041.87694500003</v>
      </c>
    </row>
    <row r="87" spans="1:56" x14ac:dyDescent="0.3">
      <c r="A87" s="43"/>
      <c r="B87" s="43"/>
      <c r="C87" s="14" t="s">
        <v>182</v>
      </c>
      <c r="D87" s="3" t="s">
        <v>79</v>
      </c>
      <c r="E87" s="3" t="s">
        <v>191</v>
      </c>
      <c r="F87" s="3" t="s">
        <v>73</v>
      </c>
      <c r="G87" s="32"/>
      <c r="H87" s="32"/>
      <c r="I87" s="32"/>
      <c r="J87" s="32"/>
      <c r="K87" s="32"/>
      <c r="L87" s="30">
        <v>15990447.419497</v>
      </c>
      <c r="M87" s="30">
        <v>15990447.419497</v>
      </c>
      <c r="N87" s="33"/>
      <c r="O87" s="33"/>
      <c r="P87" s="33"/>
      <c r="Q87" s="31">
        <v>4524046.3378210003</v>
      </c>
      <c r="R87" s="31">
        <v>4524046.3378210003</v>
      </c>
      <c r="S87" s="34"/>
      <c r="T87" s="34"/>
      <c r="U87" s="32"/>
      <c r="V87" s="32"/>
      <c r="W87" s="32"/>
      <c r="X87" s="32"/>
      <c r="Y87" s="30">
        <v>15990447.419497</v>
      </c>
      <c r="Z87" s="30">
        <v>15990447.419497</v>
      </c>
      <c r="AA87" s="33"/>
      <c r="AB87" s="33"/>
      <c r="AC87" s="33"/>
      <c r="AD87" s="31">
        <v>4524046.3378210003</v>
      </c>
      <c r="AE87" s="31">
        <v>4524046.3378210003</v>
      </c>
      <c r="AF87" s="34"/>
      <c r="AG87" s="34"/>
      <c r="AH87" s="34"/>
      <c r="AI87" s="32"/>
      <c r="AJ87" s="32"/>
      <c r="AK87" s="30">
        <v>15990447.419497</v>
      </c>
      <c r="AL87" s="30">
        <v>15990447.419497</v>
      </c>
      <c r="AM87" s="33"/>
      <c r="AN87" s="31">
        <v>4524046.3378210003</v>
      </c>
      <c r="AO87" s="31">
        <v>4524046.3378210003</v>
      </c>
      <c r="AP87" s="34"/>
      <c r="AQ87" s="34"/>
      <c r="AR87" s="32"/>
      <c r="AS87" s="32"/>
      <c r="AT87" s="30">
        <v>16807791.893215001</v>
      </c>
      <c r="AU87" s="30">
        <v>16807791.893215001</v>
      </c>
      <c r="AV87" s="31">
        <v>4755290.9162900001</v>
      </c>
      <c r="AW87" s="31">
        <v>4755290.9162900001</v>
      </c>
      <c r="AX87" s="34"/>
      <c r="AY87" s="32"/>
      <c r="AZ87" s="32"/>
      <c r="BA87" s="30">
        <v>18929711.148550998</v>
      </c>
      <c r="BB87" s="30">
        <v>18929711.148550998</v>
      </c>
      <c r="BC87" s="31">
        <v>5355628.1541680004</v>
      </c>
      <c r="BD87" s="31">
        <v>5355628.1541680004</v>
      </c>
    </row>
    <row r="88" spans="1:56" x14ac:dyDescent="0.3">
      <c r="A88" s="43"/>
      <c r="B88" s="43"/>
      <c r="C88" s="14" t="s">
        <v>182</v>
      </c>
      <c r="D88" s="3" t="s">
        <v>81</v>
      </c>
      <c r="E88" s="3" t="s">
        <v>192</v>
      </c>
      <c r="F88" s="3" t="s">
        <v>76</v>
      </c>
      <c r="G88" s="32"/>
      <c r="H88" s="32"/>
      <c r="I88" s="32"/>
      <c r="J88" s="32"/>
      <c r="K88" s="32"/>
      <c r="L88" s="30">
        <v>1551495.2279660001</v>
      </c>
      <c r="M88" s="30">
        <v>1551495.2279660001</v>
      </c>
      <c r="N88" s="33"/>
      <c r="O88" s="33"/>
      <c r="P88" s="33"/>
      <c r="Q88" s="31">
        <v>438951.83918800001</v>
      </c>
      <c r="R88" s="31">
        <v>438951.83918800001</v>
      </c>
      <c r="S88" s="34"/>
      <c r="T88" s="34"/>
      <c r="U88" s="32"/>
      <c r="V88" s="32"/>
      <c r="W88" s="32"/>
      <c r="X88" s="32"/>
      <c r="Y88" s="30">
        <v>1551495.2279660001</v>
      </c>
      <c r="Z88" s="30">
        <v>1551495.2279660001</v>
      </c>
      <c r="AA88" s="33"/>
      <c r="AB88" s="33"/>
      <c r="AC88" s="33"/>
      <c r="AD88" s="31">
        <v>438951.83918800001</v>
      </c>
      <c r="AE88" s="31">
        <v>438951.83918800001</v>
      </c>
      <c r="AF88" s="34"/>
      <c r="AG88" s="34"/>
      <c r="AH88" s="34"/>
      <c r="AI88" s="32"/>
      <c r="AJ88" s="32"/>
      <c r="AK88" s="30">
        <v>1551495.2279660001</v>
      </c>
      <c r="AL88" s="30">
        <v>1551495.2279660001</v>
      </c>
      <c r="AM88" s="33"/>
      <c r="AN88" s="31">
        <v>438951.83918800001</v>
      </c>
      <c r="AO88" s="31">
        <v>438951.83918800001</v>
      </c>
      <c r="AP88" s="34"/>
      <c r="AQ88" s="34"/>
      <c r="AR88" s="32"/>
      <c r="AS88" s="32"/>
      <c r="AT88" s="30">
        <v>1605984.8595479999</v>
      </c>
      <c r="AU88" s="30">
        <v>1605984.8595479999</v>
      </c>
      <c r="AV88" s="31">
        <v>454368.14441900002</v>
      </c>
      <c r="AW88" s="31">
        <v>454368.14441900002</v>
      </c>
      <c r="AX88" s="34"/>
      <c r="AY88" s="32"/>
      <c r="AZ88" s="32"/>
      <c r="BA88" s="30">
        <v>1747446.1432370001</v>
      </c>
      <c r="BB88" s="30">
        <v>1747446.1432370001</v>
      </c>
      <c r="BC88" s="31">
        <v>494390.62694500003</v>
      </c>
      <c r="BD88" s="31">
        <v>494390.62694500003</v>
      </c>
    </row>
    <row r="89" spans="1:56" x14ac:dyDescent="0.3">
      <c r="A89" s="43"/>
      <c r="B89" s="44"/>
      <c r="C89" s="15"/>
      <c r="D89" s="7"/>
      <c r="E89" s="7"/>
      <c r="F89" s="7"/>
      <c r="G89" s="32"/>
      <c r="H89" s="32"/>
      <c r="I89" s="32"/>
      <c r="J89" s="32"/>
      <c r="K89" s="32"/>
      <c r="L89" s="33"/>
      <c r="M89" s="33"/>
      <c r="N89" s="33"/>
      <c r="O89" s="33"/>
      <c r="P89" s="33"/>
      <c r="Q89" s="34"/>
      <c r="R89" s="34"/>
      <c r="S89" s="34"/>
      <c r="T89" s="34"/>
      <c r="U89" s="32"/>
      <c r="V89" s="32"/>
      <c r="W89" s="32"/>
      <c r="X89" s="32"/>
      <c r="Y89" s="33"/>
      <c r="Z89" s="33"/>
      <c r="AA89" s="33"/>
      <c r="AB89" s="33"/>
      <c r="AC89" s="33"/>
      <c r="AD89" s="34"/>
      <c r="AE89" s="34"/>
      <c r="AF89" s="34"/>
      <c r="AG89" s="34"/>
      <c r="AH89" s="34"/>
      <c r="AI89" s="32"/>
      <c r="AJ89" s="32"/>
      <c r="AK89" s="33"/>
      <c r="AL89" s="33"/>
      <c r="AM89" s="33"/>
      <c r="AN89" s="34"/>
      <c r="AO89" s="34"/>
      <c r="AP89" s="34"/>
      <c r="AQ89" s="34"/>
      <c r="AR89" s="32"/>
      <c r="AS89" s="32"/>
      <c r="AT89" s="33"/>
      <c r="AU89" s="33"/>
      <c r="AV89" s="34"/>
      <c r="AW89" s="34"/>
      <c r="AX89" s="34"/>
      <c r="AY89" s="32"/>
      <c r="AZ89" s="32"/>
      <c r="BA89" s="33"/>
      <c r="BB89" s="33"/>
      <c r="BC89" s="34"/>
      <c r="BD89" s="34"/>
    </row>
    <row r="90" spans="1:56" x14ac:dyDescent="0.3">
      <c r="A90" s="43"/>
      <c r="B90" s="49" t="s">
        <v>193</v>
      </c>
      <c r="C90" s="14" t="s">
        <v>194</v>
      </c>
      <c r="D90" s="3" t="s">
        <v>59</v>
      </c>
      <c r="E90" s="3" t="s">
        <v>195</v>
      </c>
      <c r="F90" s="3" t="s">
        <v>86</v>
      </c>
      <c r="G90" s="32"/>
      <c r="H90" s="32"/>
      <c r="I90" s="32"/>
      <c r="J90" s="32"/>
      <c r="K90" s="32"/>
      <c r="L90" s="33"/>
      <c r="M90" s="33"/>
      <c r="N90" s="33"/>
      <c r="O90" s="33"/>
      <c r="P90" s="33"/>
      <c r="Q90" s="34"/>
      <c r="R90" s="34"/>
      <c r="S90" s="34"/>
      <c r="T90" s="34"/>
      <c r="U90" s="32"/>
      <c r="V90" s="32"/>
      <c r="W90" s="32"/>
      <c r="X90" s="32"/>
      <c r="Y90" s="33"/>
      <c r="Z90" s="33"/>
      <c r="AA90" s="33"/>
      <c r="AB90" s="33"/>
      <c r="AC90" s="33"/>
      <c r="AD90" s="34"/>
      <c r="AE90" s="34"/>
      <c r="AF90" s="34"/>
      <c r="AG90" s="34"/>
      <c r="AH90" s="34"/>
      <c r="AI90" s="32"/>
      <c r="AJ90" s="32"/>
      <c r="AK90" s="33"/>
      <c r="AL90" s="33"/>
      <c r="AM90" s="33"/>
      <c r="AN90" s="34"/>
      <c r="AO90" s="34"/>
      <c r="AP90" s="34"/>
      <c r="AQ90" s="34"/>
      <c r="AR90" s="32"/>
      <c r="AS90" s="32"/>
      <c r="AT90" s="33"/>
      <c r="AU90" s="33"/>
      <c r="AV90" s="34"/>
      <c r="AW90" s="34"/>
      <c r="AX90" s="34"/>
      <c r="AY90" s="32"/>
      <c r="AZ90" s="32"/>
      <c r="BA90" s="33"/>
      <c r="BB90" s="33"/>
      <c r="BC90" s="34"/>
      <c r="BD90" s="34"/>
    </row>
    <row r="91" spans="1:56" x14ac:dyDescent="0.3">
      <c r="A91" s="43"/>
      <c r="B91" s="43"/>
      <c r="C91" s="14" t="s">
        <v>194</v>
      </c>
      <c r="D91" s="3" t="s">
        <v>87</v>
      </c>
      <c r="E91" s="3" t="s">
        <v>196</v>
      </c>
      <c r="F91" s="3" t="s">
        <v>197</v>
      </c>
      <c r="G91" s="32"/>
      <c r="H91" s="32"/>
      <c r="I91" s="32"/>
      <c r="J91" s="32"/>
      <c r="K91" s="32"/>
      <c r="L91" s="33"/>
      <c r="M91" s="33"/>
      <c r="N91" s="33"/>
      <c r="O91" s="33"/>
      <c r="P91" s="33"/>
      <c r="Q91" s="34"/>
      <c r="R91" s="34"/>
      <c r="S91" s="34"/>
      <c r="T91" s="34"/>
      <c r="U91" s="32"/>
      <c r="V91" s="32"/>
      <c r="W91" s="32"/>
      <c r="X91" s="32"/>
      <c r="Y91" s="33"/>
      <c r="Z91" s="33"/>
      <c r="AA91" s="33"/>
      <c r="AB91" s="33"/>
      <c r="AC91" s="33"/>
      <c r="AD91" s="34"/>
      <c r="AE91" s="34"/>
      <c r="AF91" s="34"/>
      <c r="AG91" s="34"/>
      <c r="AH91" s="34"/>
      <c r="AI91" s="32"/>
      <c r="AJ91" s="32"/>
      <c r="AK91" s="33"/>
      <c r="AL91" s="33"/>
      <c r="AM91" s="33"/>
      <c r="AN91" s="34"/>
      <c r="AO91" s="34"/>
      <c r="AP91" s="34"/>
      <c r="AQ91" s="34"/>
      <c r="AR91" s="32"/>
      <c r="AS91" s="32"/>
      <c r="AT91" s="33"/>
      <c r="AU91" s="33"/>
      <c r="AV91" s="34"/>
      <c r="AW91" s="34"/>
      <c r="AX91" s="34"/>
      <c r="AY91" s="32"/>
      <c r="AZ91" s="32"/>
      <c r="BA91" s="33"/>
      <c r="BB91" s="33"/>
      <c r="BC91" s="34"/>
      <c r="BD91" s="34"/>
    </row>
    <row r="92" spans="1:56" x14ac:dyDescent="0.3">
      <c r="A92" s="43"/>
      <c r="B92" s="43"/>
      <c r="C92" s="14" t="s">
        <v>194</v>
      </c>
      <c r="D92" s="3" t="s">
        <v>90</v>
      </c>
      <c r="E92" s="3" t="s">
        <v>198</v>
      </c>
      <c r="F92" s="5" t="s">
        <v>70</v>
      </c>
      <c r="G92" s="32"/>
      <c r="H92" s="32"/>
      <c r="I92" s="32"/>
      <c r="J92" s="32"/>
      <c r="K92" s="32"/>
      <c r="L92" s="33"/>
      <c r="M92" s="33"/>
      <c r="N92" s="33"/>
      <c r="O92" s="33"/>
      <c r="P92" s="33"/>
      <c r="Q92" s="34"/>
      <c r="R92" s="34"/>
      <c r="S92" s="34"/>
      <c r="T92" s="34"/>
      <c r="U92" s="32"/>
      <c r="V92" s="32"/>
      <c r="W92" s="32"/>
      <c r="X92" s="32"/>
      <c r="Y92" s="33"/>
      <c r="Z92" s="33"/>
      <c r="AA92" s="33"/>
      <c r="AB92" s="33"/>
      <c r="AC92" s="33"/>
      <c r="AD92" s="34"/>
      <c r="AE92" s="34"/>
      <c r="AF92" s="34"/>
      <c r="AG92" s="34"/>
      <c r="AH92" s="34"/>
      <c r="AI92" s="32"/>
      <c r="AJ92" s="32"/>
      <c r="AK92" s="33"/>
      <c r="AL92" s="33"/>
      <c r="AM92" s="33"/>
      <c r="AN92" s="34"/>
      <c r="AO92" s="34"/>
      <c r="AP92" s="34"/>
      <c r="AQ92" s="34"/>
      <c r="AR92" s="32"/>
      <c r="AS92" s="32"/>
      <c r="AT92" s="33"/>
      <c r="AU92" s="33"/>
      <c r="AV92" s="34"/>
      <c r="AW92" s="34"/>
      <c r="AX92" s="34"/>
      <c r="AY92" s="32"/>
      <c r="AZ92" s="32"/>
      <c r="BA92" s="33"/>
      <c r="BB92" s="33"/>
      <c r="BC92" s="34"/>
      <c r="BD92" s="34"/>
    </row>
    <row r="93" spans="1:56" x14ac:dyDescent="0.3">
      <c r="A93" s="43"/>
      <c r="B93" s="43"/>
      <c r="C93" s="14" t="s">
        <v>194</v>
      </c>
      <c r="D93" s="3" t="s">
        <v>92</v>
      </c>
      <c r="E93" s="3" t="s">
        <v>199</v>
      </c>
      <c r="F93" s="3" t="s">
        <v>94</v>
      </c>
      <c r="G93" s="32"/>
      <c r="H93" s="32"/>
      <c r="I93" s="32"/>
      <c r="J93" s="32"/>
      <c r="K93" s="32"/>
      <c r="L93" s="33"/>
      <c r="M93" s="33"/>
      <c r="N93" s="33"/>
      <c r="O93" s="33"/>
      <c r="P93" s="33"/>
      <c r="Q93" s="34"/>
      <c r="R93" s="34"/>
      <c r="S93" s="34"/>
      <c r="T93" s="34"/>
      <c r="U93" s="32"/>
      <c r="V93" s="32"/>
      <c r="W93" s="32"/>
      <c r="X93" s="32"/>
      <c r="Y93" s="33"/>
      <c r="Z93" s="33"/>
      <c r="AA93" s="33"/>
      <c r="AB93" s="33"/>
      <c r="AC93" s="33"/>
      <c r="AD93" s="34"/>
      <c r="AE93" s="34"/>
      <c r="AF93" s="34"/>
      <c r="AG93" s="34"/>
      <c r="AH93" s="34"/>
      <c r="AI93" s="32"/>
      <c r="AJ93" s="32"/>
      <c r="AK93" s="33"/>
      <c r="AL93" s="33"/>
      <c r="AM93" s="33"/>
      <c r="AN93" s="34"/>
      <c r="AO93" s="34"/>
      <c r="AP93" s="34"/>
      <c r="AQ93" s="34"/>
      <c r="AR93" s="32"/>
      <c r="AS93" s="32"/>
      <c r="AT93" s="33"/>
      <c r="AU93" s="33"/>
      <c r="AV93" s="34"/>
      <c r="AW93" s="34"/>
      <c r="AX93" s="34"/>
      <c r="AY93" s="32"/>
      <c r="AZ93" s="32"/>
      <c r="BA93" s="33"/>
      <c r="BB93" s="33"/>
      <c r="BC93" s="34"/>
      <c r="BD93" s="34"/>
    </row>
    <row r="94" spans="1:56" x14ac:dyDescent="0.3">
      <c r="A94" s="43"/>
      <c r="B94" s="43"/>
      <c r="C94" s="14" t="s">
        <v>194</v>
      </c>
      <c r="D94" s="3" t="s">
        <v>65</v>
      </c>
      <c r="E94" s="3" t="s">
        <v>200</v>
      </c>
      <c r="F94" s="3" t="s">
        <v>67</v>
      </c>
      <c r="G94" s="32"/>
      <c r="H94" s="32"/>
      <c r="I94" s="32"/>
      <c r="J94" s="32"/>
      <c r="K94" s="32"/>
      <c r="L94" s="33"/>
      <c r="M94" s="33"/>
      <c r="N94" s="33"/>
      <c r="O94" s="33"/>
      <c r="P94" s="33"/>
      <c r="Q94" s="34"/>
      <c r="R94" s="34"/>
      <c r="S94" s="34"/>
      <c r="T94" s="34"/>
      <c r="U94" s="32"/>
      <c r="V94" s="32"/>
      <c r="W94" s="32"/>
      <c r="X94" s="32"/>
      <c r="Y94" s="33"/>
      <c r="Z94" s="33"/>
      <c r="AA94" s="33"/>
      <c r="AB94" s="33"/>
      <c r="AC94" s="33"/>
      <c r="AD94" s="34"/>
      <c r="AE94" s="34"/>
      <c r="AF94" s="34"/>
      <c r="AG94" s="34"/>
      <c r="AH94" s="34"/>
      <c r="AI94" s="32"/>
      <c r="AJ94" s="32"/>
      <c r="AK94" s="33"/>
      <c r="AL94" s="33"/>
      <c r="AM94" s="33"/>
      <c r="AN94" s="34"/>
      <c r="AO94" s="34"/>
      <c r="AP94" s="34"/>
      <c r="AQ94" s="34"/>
      <c r="AR94" s="32"/>
      <c r="AS94" s="32"/>
      <c r="AT94" s="33"/>
      <c r="AU94" s="33"/>
      <c r="AV94" s="34"/>
      <c r="AW94" s="34"/>
      <c r="AX94" s="34"/>
      <c r="AY94" s="32"/>
      <c r="AZ94" s="32"/>
      <c r="BA94" s="33"/>
      <c r="BB94" s="33"/>
      <c r="BC94" s="34"/>
      <c r="BD94" s="34"/>
    </row>
    <row r="95" spans="1:56" x14ac:dyDescent="0.3">
      <c r="A95" s="43"/>
      <c r="B95" s="43"/>
      <c r="C95" s="14" t="s">
        <v>194</v>
      </c>
      <c r="D95" s="3" t="s">
        <v>71</v>
      </c>
      <c r="E95" s="3" t="s">
        <v>201</v>
      </c>
      <c r="F95" s="3" t="s">
        <v>73</v>
      </c>
      <c r="G95" s="32"/>
      <c r="H95" s="32"/>
      <c r="I95" s="32"/>
      <c r="J95" s="32"/>
      <c r="K95" s="32"/>
      <c r="L95" s="33"/>
      <c r="M95" s="33"/>
      <c r="N95" s="33"/>
      <c r="O95" s="33"/>
      <c r="P95" s="33"/>
      <c r="Q95" s="34"/>
      <c r="R95" s="34"/>
      <c r="S95" s="34"/>
      <c r="T95" s="34"/>
      <c r="U95" s="32"/>
      <c r="V95" s="32"/>
      <c r="W95" s="32"/>
      <c r="X95" s="32"/>
      <c r="Y95" s="33"/>
      <c r="Z95" s="33"/>
      <c r="AA95" s="33"/>
      <c r="AB95" s="33"/>
      <c r="AC95" s="33"/>
      <c r="AD95" s="34"/>
      <c r="AE95" s="34"/>
      <c r="AF95" s="34"/>
      <c r="AG95" s="34"/>
      <c r="AH95" s="34"/>
      <c r="AI95" s="32"/>
      <c r="AJ95" s="32"/>
      <c r="AK95" s="33"/>
      <c r="AL95" s="33"/>
      <c r="AM95" s="33"/>
      <c r="AN95" s="34"/>
      <c r="AO95" s="34"/>
      <c r="AP95" s="34"/>
      <c r="AQ95" s="34"/>
      <c r="AR95" s="32"/>
      <c r="AS95" s="32"/>
      <c r="AT95" s="33"/>
      <c r="AU95" s="33"/>
      <c r="AV95" s="34"/>
      <c r="AW95" s="34"/>
      <c r="AX95" s="34"/>
      <c r="AY95" s="32"/>
      <c r="AZ95" s="32"/>
      <c r="BA95" s="33"/>
      <c r="BB95" s="33"/>
      <c r="BC95" s="34"/>
      <c r="BD95" s="34"/>
    </row>
    <row r="96" spans="1:56" x14ac:dyDescent="0.3">
      <c r="A96" s="43"/>
      <c r="B96" s="43"/>
      <c r="C96" s="14" t="s">
        <v>194</v>
      </c>
      <c r="D96" s="3" t="s">
        <v>74</v>
      </c>
      <c r="E96" s="3" t="s">
        <v>202</v>
      </c>
      <c r="F96" s="3" t="s">
        <v>76</v>
      </c>
      <c r="G96" s="32"/>
      <c r="H96" s="32"/>
      <c r="I96" s="32"/>
      <c r="J96" s="32"/>
      <c r="K96" s="32"/>
      <c r="L96" s="33"/>
      <c r="M96" s="33"/>
      <c r="N96" s="33"/>
      <c r="O96" s="33"/>
      <c r="P96" s="33"/>
      <c r="Q96" s="34"/>
      <c r="R96" s="34"/>
      <c r="S96" s="34"/>
      <c r="T96" s="34"/>
      <c r="U96" s="32"/>
      <c r="V96" s="32"/>
      <c r="W96" s="32"/>
      <c r="X96" s="32"/>
      <c r="Y96" s="33"/>
      <c r="Z96" s="33"/>
      <c r="AA96" s="33"/>
      <c r="AB96" s="33"/>
      <c r="AC96" s="33"/>
      <c r="AD96" s="34"/>
      <c r="AE96" s="34"/>
      <c r="AF96" s="34"/>
      <c r="AG96" s="34"/>
      <c r="AH96" s="34"/>
      <c r="AI96" s="32"/>
      <c r="AJ96" s="32"/>
      <c r="AK96" s="33"/>
      <c r="AL96" s="33"/>
      <c r="AM96" s="33"/>
      <c r="AN96" s="34"/>
      <c r="AO96" s="34"/>
      <c r="AP96" s="34"/>
      <c r="AQ96" s="34"/>
      <c r="AR96" s="32"/>
      <c r="AS96" s="32"/>
      <c r="AT96" s="33"/>
      <c r="AU96" s="33"/>
      <c r="AV96" s="34"/>
      <c r="AW96" s="34"/>
      <c r="AX96" s="34"/>
      <c r="AY96" s="32"/>
      <c r="AZ96" s="32"/>
      <c r="BA96" s="33"/>
      <c r="BB96" s="33"/>
      <c r="BC96" s="34"/>
      <c r="BD96" s="34"/>
    </row>
    <row r="97" spans="1:56" x14ac:dyDescent="0.3">
      <c r="A97" s="43"/>
      <c r="B97" s="43"/>
      <c r="C97" s="14" t="s">
        <v>194</v>
      </c>
      <c r="D97" s="3" t="s">
        <v>77</v>
      </c>
      <c r="E97" s="3" t="s">
        <v>203</v>
      </c>
      <c r="F97" s="3" t="s">
        <v>76</v>
      </c>
      <c r="G97" s="32"/>
      <c r="H97" s="32"/>
      <c r="I97" s="32"/>
      <c r="J97" s="32"/>
      <c r="K97" s="32"/>
      <c r="L97" s="33"/>
      <c r="M97" s="33"/>
      <c r="N97" s="33"/>
      <c r="O97" s="33"/>
      <c r="P97" s="33"/>
      <c r="Q97" s="34"/>
      <c r="R97" s="34"/>
      <c r="S97" s="34"/>
      <c r="T97" s="34"/>
      <c r="U97" s="32"/>
      <c r="V97" s="32"/>
      <c r="W97" s="32"/>
      <c r="X97" s="32"/>
      <c r="Y97" s="33"/>
      <c r="Z97" s="33"/>
      <c r="AA97" s="33"/>
      <c r="AB97" s="33"/>
      <c r="AC97" s="33"/>
      <c r="AD97" s="34"/>
      <c r="AE97" s="34"/>
      <c r="AF97" s="34"/>
      <c r="AG97" s="34"/>
      <c r="AH97" s="34"/>
      <c r="AI97" s="32"/>
      <c r="AJ97" s="32"/>
      <c r="AK97" s="33"/>
      <c r="AL97" s="33"/>
      <c r="AM97" s="33"/>
      <c r="AN97" s="34"/>
      <c r="AO97" s="34"/>
      <c r="AP97" s="34"/>
      <c r="AQ97" s="34"/>
      <c r="AR97" s="32"/>
      <c r="AS97" s="32"/>
      <c r="AT97" s="33"/>
      <c r="AU97" s="33"/>
      <c r="AV97" s="34"/>
      <c r="AW97" s="34"/>
      <c r="AX97" s="34"/>
      <c r="AY97" s="32"/>
      <c r="AZ97" s="32"/>
      <c r="BA97" s="33"/>
      <c r="BB97" s="33"/>
      <c r="BC97" s="34"/>
      <c r="BD97" s="34"/>
    </row>
    <row r="98" spans="1:56" x14ac:dyDescent="0.3">
      <c r="A98" s="43"/>
      <c r="B98" s="43"/>
      <c r="C98" s="14" t="s">
        <v>194</v>
      </c>
      <c r="D98" s="3" t="s">
        <v>79</v>
      </c>
      <c r="E98" s="3" t="s">
        <v>204</v>
      </c>
      <c r="F98" s="3" t="s">
        <v>73</v>
      </c>
      <c r="G98" s="32"/>
      <c r="H98" s="32"/>
      <c r="I98" s="32"/>
      <c r="J98" s="32"/>
      <c r="K98" s="32"/>
      <c r="L98" s="33"/>
      <c r="M98" s="33"/>
      <c r="N98" s="33"/>
      <c r="O98" s="33"/>
      <c r="P98" s="33"/>
      <c r="Q98" s="34"/>
      <c r="R98" s="34"/>
      <c r="S98" s="34"/>
      <c r="T98" s="34"/>
      <c r="U98" s="32"/>
      <c r="V98" s="32"/>
      <c r="W98" s="32"/>
      <c r="X98" s="32"/>
      <c r="Y98" s="33"/>
      <c r="Z98" s="33"/>
      <c r="AA98" s="33"/>
      <c r="AB98" s="33"/>
      <c r="AC98" s="33"/>
      <c r="AD98" s="34"/>
      <c r="AE98" s="34"/>
      <c r="AF98" s="34"/>
      <c r="AG98" s="34"/>
      <c r="AH98" s="34"/>
      <c r="AI98" s="32"/>
      <c r="AJ98" s="32"/>
      <c r="AK98" s="33"/>
      <c r="AL98" s="33"/>
      <c r="AM98" s="33"/>
      <c r="AN98" s="34"/>
      <c r="AO98" s="34"/>
      <c r="AP98" s="34"/>
      <c r="AQ98" s="34"/>
      <c r="AR98" s="32"/>
      <c r="AS98" s="32"/>
      <c r="AT98" s="33"/>
      <c r="AU98" s="33"/>
      <c r="AV98" s="34"/>
      <c r="AW98" s="34"/>
      <c r="AX98" s="34"/>
      <c r="AY98" s="32"/>
      <c r="AZ98" s="32"/>
      <c r="BA98" s="33"/>
      <c r="BB98" s="33"/>
      <c r="BC98" s="34"/>
      <c r="BD98" s="34"/>
    </row>
    <row r="99" spans="1:56" x14ac:dyDescent="0.3">
      <c r="A99" s="43"/>
      <c r="B99" s="43"/>
      <c r="C99" s="14" t="s">
        <v>194</v>
      </c>
      <c r="D99" s="3" t="s">
        <v>81</v>
      </c>
      <c r="E99" s="3" t="s">
        <v>205</v>
      </c>
      <c r="F99" s="3" t="s">
        <v>76</v>
      </c>
      <c r="G99" s="32"/>
      <c r="H99" s="32"/>
      <c r="I99" s="32"/>
      <c r="J99" s="32"/>
      <c r="K99" s="32"/>
      <c r="L99" s="33"/>
      <c r="M99" s="33"/>
      <c r="N99" s="33"/>
      <c r="O99" s="33"/>
      <c r="P99" s="33"/>
      <c r="Q99" s="34"/>
      <c r="R99" s="34"/>
      <c r="S99" s="34"/>
      <c r="T99" s="34"/>
      <c r="U99" s="32"/>
      <c r="V99" s="32"/>
      <c r="W99" s="32"/>
      <c r="X99" s="32"/>
      <c r="Y99" s="33"/>
      <c r="Z99" s="33"/>
      <c r="AA99" s="33"/>
      <c r="AB99" s="33"/>
      <c r="AC99" s="33"/>
      <c r="AD99" s="34"/>
      <c r="AE99" s="34"/>
      <c r="AF99" s="34"/>
      <c r="AG99" s="34"/>
      <c r="AH99" s="34"/>
      <c r="AI99" s="32"/>
      <c r="AJ99" s="32"/>
      <c r="AK99" s="33"/>
      <c r="AL99" s="33"/>
      <c r="AM99" s="33"/>
      <c r="AN99" s="34"/>
      <c r="AO99" s="34"/>
      <c r="AP99" s="34"/>
      <c r="AQ99" s="34"/>
      <c r="AR99" s="32"/>
      <c r="AS99" s="32"/>
      <c r="AT99" s="33"/>
      <c r="AU99" s="33"/>
      <c r="AV99" s="34"/>
      <c r="AW99" s="34"/>
      <c r="AX99" s="34"/>
      <c r="AY99" s="32"/>
      <c r="AZ99" s="32"/>
      <c r="BA99" s="33"/>
      <c r="BB99" s="33"/>
      <c r="BC99" s="34"/>
      <c r="BD99" s="34"/>
    </row>
    <row r="100" spans="1:56" ht="15" customHeight="1" thickBot="1" x14ac:dyDescent="0.35">
      <c r="A100" s="48"/>
      <c r="B100" s="20"/>
      <c r="C100" s="14"/>
      <c r="G100" s="32"/>
      <c r="H100" s="32"/>
      <c r="I100" s="32"/>
      <c r="J100" s="32"/>
      <c r="K100" s="32"/>
      <c r="L100" s="33"/>
      <c r="M100" s="33"/>
      <c r="N100" s="33"/>
      <c r="O100" s="33"/>
      <c r="P100" s="33"/>
      <c r="Q100" s="34"/>
      <c r="R100" s="34"/>
      <c r="S100" s="34"/>
      <c r="T100" s="34"/>
      <c r="U100" s="32"/>
      <c r="V100" s="32"/>
      <c r="W100" s="32"/>
      <c r="X100" s="32"/>
      <c r="Y100" s="33"/>
      <c r="Z100" s="33"/>
      <c r="AA100" s="33"/>
      <c r="AB100" s="33"/>
      <c r="AC100" s="33"/>
      <c r="AD100" s="34"/>
      <c r="AE100" s="34"/>
      <c r="AF100" s="34"/>
      <c r="AG100" s="34"/>
      <c r="AH100" s="34"/>
      <c r="AI100" s="32"/>
      <c r="AJ100" s="32"/>
      <c r="AK100" s="33"/>
      <c r="AL100" s="33"/>
      <c r="AM100" s="33"/>
      <c r="AN100" s="34"/>
      <c r="AO100" s="34"/>
      <c r="AP100" s="34"/>
      <c r="AQ100" s="34"/>
      <c r="AR100" s="32"/>
      <c r="AS100" s="32"/>
      <c r="AT100" s="33"/>
      <c r="AU100" s="33"/>
      <c r="AV100" s="34"/>
      <c r="AW100" s="34"/>
      <c r="AX100" s="34"/>
      <c r="AY100" s="32"/>
      <c r="AZ100" s="32"/>
      <c r="BA100" s="33"/>
      <c r="BB100" s="33"/>
      <c r="BC100" s="34"/>
      <c r="BD100" s="34"/>
    </row>
    <row r="101" spans="1:56" ht="14.4" customHeight="1" thickBot="1" x14ac:dyDescent="0.35">
      <c r="A101" s="47" t="s">
        <v>206</v>
      </c>
      <c r="B101" s="51" t="s">
        <v>207</v>
      </c>
      <c r="C101" s="16" t="s">
        <v>208</v>
      </c>
      <c r="D101" s="4" t="s">
        <v>209</v>
      </c>
      <c r="E101" s="4" t="s">
        <v>210</v>
      </c>
      <c r="F101" s="4" t="s">
        <v>211</v>
      </c>
      <c r="G101" s="29">
        <v>39.318868000000002</v>
      </c>
      <c r="H101" s="29">
        <v>39.318868000000002</v>
      </c>
      <c r="I101" s="29">
        <v>39.318868000000002</v>
      </c>
      <c r="J101" s="29">
        <v>39.318868000000002</v>
      </c>
      <c r="K101" s="29">
        <v>39.318868000000002</v>
      </c>
      <c r="L101" s="30">
        <v>39.318868000000002</v>
      </c>
      <c r="M101" s="30">
        <v>39.318868000000002</v>
      </c>
      <c r="N101" s="30">
        <v>39.318868000000002</v>
      </c>
      <c r="O101" s="30">
        <v>39.318868000000002</v>
      </c>
      <c r="P101" s="30">
        <v>39.318899999999999</v>
      </c>
      <c r="Q101" s="31">
        <v>39.318868000000002</v>
      </c>
      <c r="R101" s="31">
        <v>39.318868000000002</v>
      </c>
      <c r="S101" s="31">
        <v>39.318868000000002</v>
      </c>
      <c r="T101" s="31">
        <v>39.318868000000002</v>
      </c>
      <c r="U101" s="29">
        <v>39.318868000000002</v>
      </c>
      <c r="V101" s="29">
        <v>39.318868000000002</v>
      </c>
      <c r="W101" s="29">
        <v>39.318868000000002</v>
      </c>
      <c r="X101" s="29">
        <v>39.318868000000002</v>
      </c>
      <c r="Y101" s="30">
        <v>39.318868000000002</v>
      </c>
      <c r="Z101" s="30">
        <v>39.318868000000002</v>
      </c>
      <c r="AA101" s="30">
        <v>39.318868000000002</v>
      </c>
      <c r="AB101" s="30">
        <v>39.318868000000002</v>
      </c>
      <c r="AC101" s="30">
        <v>39.318868000000002</v>
      </c>
      <c r="AD101" s="31">
        <v>39.318868000000002</v>
      </c>
      <c r="AE101" s="31">
        <v>39.318868000000002</v>
      </c>
      <c r="AF101" s="31">
        <v>39.318868000000002</v>
      </c>
      <c r="AG101" s="31">
        <v>39.318868000000002</v>
      </c>
      <c r="AH101" s="31">
        <v>39.318868000000002</v>
      </c>
      <c r="AI101" s="29">
        <v>39.318868000000002</v>
      </c>
      <c r="AJ101" s="29">
        <v>39.318868000000002</v>
      </c>
      <c r="AK101" s="30">
        <v>39.318868000000002</v>
      </c>
      <c r="AL101" s="30">
        <v>39.318868000000002</v>
      </c>
      <c r="AM101" s="30">
        <v>39.318868000000002</v>
      </c>
      <c r="AN101" s="31">
        <v>39.318868000000002</v>
      </c>
      <c r="AO101" s="31">
        <v>39.318868000000002</v>
      </c>
      <c r="AP101" s="31">
        <v>39.318868000000002</v>
      </c>
      <c r="AQ101" s="31">
        <v>39.318868000000002</v>
      </c>
      <c r="AR101" s="29">
        <v>42.029440000000001</v>
      </c>
      <c r="AS101" s="29">
        <v>42.029440000000001</v>
      </c>
      <c r="AT101" s="30">
        <v>42.029440000000001</v>
      </c>
      <c r="AU101" s="30">
        <v>42.029440000000001</v>
      </c>
      <c r="AV101" s="31">
        <v>42.029440000000001</v>
      </c>
      <c r="AW101" s="31">
        <v>42.029440000000001</v>
      </c>
      <c r="AX101" s="31">
        <v>39.318868000000002</v>
      </c>
      <c r="AY101" s="29">
        <v>49.167109000000004</v>
      </c>
      <c r="AZ101" s="29">
        <v>49.167109000000004</v>
      </c>
      <c r="BA101" s="30">
        <v>49.167109000000004</v>
      </c>
      <c r="BB101" s="30">
        <v>49.167109000000004</v>
      </c>
      <c r="BC101" s="31">
        <v>49.167109000000004</v>
      </c>
      <c r="BD101" s="31">
        <v>49.167109000000004</v>
      </c>
    </row>
    <row r="102" spans="1:56" x14ac:dyDescent="0.3">
      <c r="A102" s="43"/>
      <c r="B102" s="43"/>
      <c r="C102" s="14" t="s">
        <v>208</v>
      </c>
      <c r="D102" s="3" t="s">
        <v>212</v>
      </c>
      <c r="E102" s="3" t="s">
        <v>213</v>
      </c>
      <c r="F102" s="3" t="s">
        <v>214</v>
      </c>
      <c r="G102" s="29">
        <v>7019.4636360000004</v>
      </c>
      <c r="H102" s="29">
        <v>1676.545539</v>
      </c>
      <c r="I102" s="29">
        <v>0</v>
      </c>
      <c r="J102" s="29">
        <v>0</v>
      </c>
      <c r="K102" s="29">
        <v>0</v>
      </c>
      <c r="L102" s="30">
        <v>15255.610997</v>
      </c>
      <c r="M102" s="30">
        <v>8890.6233900000007</v>
      </c>
      <c r="N102" s="30">
        <v>9007.2670789999993</v>
      </c>
      <c r="O102" s="30">
        <v>0</v>
      </c>
      <c r="P102" s="30">
        <v>0</v>
      </c>
      <c r="Q102" s="31">
        <v>7633.3941320000004</v>
      </c>
      <c r="R102" s="31">
        <v>1647.5059739999999</v>
      </c>
      <c r="S102" s="31">
        <v>1653.510319</v>
      </c>
      <c r="T102" s="31">
        <v>0</v>
      </c>
      <c r="U102" s="29">
        <v>5078.6766740000003</v>
      </c>
      <c r="V102" s="29">
        <v>1712.7488069999999</v>
      </c>
      <c r="W102" s="29">
        <v>0</v>
      </c>
      <c r="X102" s="29">
        <v>0</v>
      </c>
      <c r="Y102" s="30">
        <v>15925.068334</v>
      </c>
      <c r="Z102" s="30">
        <v>9153.5191470000009</v>
      </c>
      <c r="AA102" s="30">
        <v>8989.4513900000002</v>
      </c>
      <c r="AB102" s="30">
        <v>1.5162119999999999</v>
      </c>
      <c r="AC102" s="30">
        <v>1.5162119999999999</v>
      </c>
      <c r="AD102" s="31">
        <v>5458.636219</v>
      </c>
      <c r="AE102" s="31">
        <v>1782.0089049999999</v>
      </c>
      <c r="AF102" s="31">
        <v>1736.1453759999999</v>
      </c>
      <c r="AG102" s="31">
        <v>0</v>
      </c>
      <c r="AH102" s="31">
        <v>0</v>
      </c>
      <c r="AI102" s="29">
        <v>4689.0133139999998</v>
      </c>
      <c r="AJ102" s="29">
        <v>1425.796728</v>
      </c>
      <c r="AK102" s="30">
        <v>23645.380270000001</v>
      </c>
      <c r="AL102" s="30">
        <v>6776.7298220000002</v>
      </c>
      <c r="AM102" s="30">
        <v>6831.7274630000002</v>
      </c>
      <c r="AN102" s="31">
        <v>4987.3030570000001</v>
      </c>
      <c r="AO102" s="31">
        <v>1400.1112390000001</v>
      </c>
      <c r="AP102" s="31">
        <v>1410.982448</v>
      </c>
      <c r="AQ102" s="31">
        <v>0</v>
      </c>
      <c r="AR102" s="29">
        <v>3750.8547910000002</v>
      </c>
      <c r="AS102" s="29">
        <v>1010.666693</v>
      </c>
      <c r="AT102" s="30">
        <v>14317.142898</v>
      </c>
      <c r="AU102" s="30">
        <v>4881.0999089999996</v>
      </c>
      <c r="AV102" s="31">
        <v>4056.3079659999999</v>
      </c>
      <c r="AW102" s="31">
        <v>1044.8771159999999</v>
      </c>
      <c r="AX102" s="31">
        <v>3899.2249099999999</v>
      </c>
      <c r="AY102" s="29">
        <v>1929.5330550000001</v>
      </c>
      <c r="AZ102" s="29">
        <v>0</v>
      </c>
      <c r="BA102" s="30">
        <v>7364.6673680000004</v>
      </c>
      <c r="BB102" s="30">
        <v>0</v>
      </c>
      <c r="BC102" s="31">
        <v>2058.3098300000001</v>
      </c>
      <c r="BD102" s="31">
        <v>0</v>
      </c>
    </row>
    <row r="103" spans="1:56" x14ac:dyDescent="0.3">
      <c r="A103" s="43"/>
      <c r="B103" s="43"/>
      <c r="C103" s="14" t="s">
        <v>208</v>
      </c>
      <c r="D103" s="3" t="s">
        <v>215</v>
      </c>
      <c r="E103" s="3" t="s">
        <v>216</v>
      </c>
      <c r="F103" s="3" t="s">
        <v>70</v>
      </c>
      <c r="G103" s="29">
        <v>88448.412203999993</v>
      </c>
      <c r="H103" s="29">
        <v>66004.269920000006</v>
      </c>
      <c r="I103" s="29">
        <v>0</v>
      </c>
      <c r="J103" s="29">
        <v>0</v>
      </c>
      <c r="K103" s="29">
        <v>0</v>
      </c>
      <c r="L103" s="30">
        <v>141358.640094</v>
      </c>
      <c r="M103" s="30">
        <v>363209.79636400001</v>
      </c>
      <c r="N103" s="30">
        <v>364280.16804800002</v>
      </c>
      <c r="O103" s="30">
        <v>0</v>
      </c>
      <c r="P103" s="30">
        <v>0</v>
      </c>
      <c r="Q103" s="31">
        <v>90579.477052000002</v>
      </c>
      <c r="R103" s="31">
        <v>65816.248049999995</v>
      </c>
      <c r="S103" s="31">
        <v>65341.652323000002</v>
      </c>
      <c r="T103" s="31">
        <v>0</v>
      </c>
      <c r="U103" s="29">
        <v>71143.458694000001</v>
      </c>
      <c r="V103" s="29">
        <v>70468.952118000001</v>
      </c>
      <c r="W103" s="29">
        <v>0</v>
      </c>
      <c r="X103" s="29">
        <v>0</v>
      </c>
      <c r="Y103" s="30">
        <v>140040.30817599999</v>
      </c>
      <c r="Z103" s="30">
        <v>395781.224605</v>
      </c>
      <c r="AA103" s="30">
        <v>390637.92629799998</v>
      </c>
      <c r="AB103" s="30">
        <v>122.32398499999999</v>
      </c>
      <c r="AC103" s="30">
        <v>122.32398499999999</v>
      </c>
      <c r="AD103" s="31">
        <v>73742.167436999996</v>
      </c>
      <c r="AE103" s="31">
        <v>73148.024881000005</v>
      </c>
      <c r="AF103" s="31">
        <v>71304.268020999996</v>
      </c>
      <c r="AG103" s="31">
        <v>0</v>
      </c>
      <c r="AH103" s="31">
        <v>0</v>
      </c>
      <c r="AI103" s="29">
        <v>82983.868642000001</v>
      </c>
      <c r="AJ103" s="29">
        <v>70229.259361000004</v>
      </c>
      <c r="AK103" s="30">
        <v>188206.97517300001</v>
      </c>
      <c r="AL103" s="30">
        <v>379517.57773100003</v>
      </c>
      <c r="AM103" s="30">
        <v>381033.821735</v>
      </c>
      <c r="AN103" s="31">
        <v>86200.597307999997</v>
      </c>
      <c r="AO103" s="31">
        <v>70380.577850000001</v>
      </c>
      <c r="AP103" s="31">
        <v>70005.838306000005</v>
      </c>
      <c r="AQ103" s="31">
        <v>0</v>
      </c>
      <c r="AR103" s="29">
        <v>51163.879138999997</v>
      </c>
      <c r="AS103" s="29">
        <v>48601.149992999999</v>
      </c>
      <c r="AT103" s="30">
        <v>83594.279827999999</v>
      </c>
      <c r="AU103" s="30">
        <v>261324.881444</v>
      </c>
      <c r="AV103" s="31">
        <v>54848.902840000002</v>
      </c>
      <c r="AW103" s="31">
        <v>50077.38508</v>
      </c>
      <c r="AX103" s="31">
        <v>56181.016008999999</v>
      </c>
      <c r="AY103" s="29">
        <v>61339.743633999999</v>
      </c>
      <c r="AZ103" s="29">
        <v>0</v>
      </c>
      <c r="BA103" s="30">
        <v>90017.572872000004</v>
      </c>
      <c r="BB103" s="30">
        <v>0</v>
      </c>
      <c r="BC103" s="31">
        <v>66825.532588000002</v>
      </c>
      <c r="BD103" s="31">
        <v>0</v>
      </c>
    </row>
    <row r="104" spans="1:56" x14ac:dyDescent="0.3">
      <c r="A104" s="43"/>
      <c r="B104" s="43"/>
      <c r="C104" s="14" t="s">
        <v>208</v>
      </c>
      <c r="D104" s="3" t="s">
        <v>217</v>
      </c>
      <c r="E104" s="3" t="s">
        <v>218</v>
      </c>
      <c r="F104" s="3" t="s">
        <v>70</v>
      </c>
      <c r="G104" s="29">
        <v>61253.316430999999</v>
      </c>
      <c r="H104" s="29">
        <v>45774.534862</v>
      </c>
      <c r="I104" s="29">
        <v>0</v>
      </c>
      <c r="J104" s="29">
        <v>0</v>
      </c>
      <c r="K104" s="29">
        <v>0</v>
      </c>
      <c r="L104" s="30">
        <v>97947.108257</v>
      </c>
      <c r="M104" s="30">
        <v>251889.439556</v>
      </c>
      <c r="N104" s="30">
        <v>252631.24763500001</v>
      </c>
      <c r="O104" s="30">
        <v>0</v>
      </c>
      <c r="P104" s="30">
        <v>0</v>
      </c>
      <c r="Q104" s="31">
        <v>62721.539232000003</v>
      </c>
      <c r="R104" s="31">
        <v>45644.238899999997</v>
      </c>
      <c r="S104" s="31">
        <v>45315.016403000001</v>
      </c>
      <c r="T104" s="31">
        <v>0</v>
      </c>
      <c r="U104" s="29">
        <v>49300.724292999999</v>
      </c>
      <c r="V104" s="29">
        <v>48871.807321</v>
      </c>
      <c r="W104" s="29">
        <v>0</v>
      </c>
      <c r="X104" s="29">
        <v>0</v>
      </c>
      <c r="Y104" s="30">
        <v>97075.847462000005</v>
      </c>
      <c r="Z104" s="30">
        <v>274483.35748300003</v>
      </c>
      <c r="AA104" s="30">
        <v>270918.47308600001</v>
      </c>
      <c r="AB104" s="30">
        <v>84.868424000000005</v>
      </c>
      <c r="AC104" s="30">
        <v>84.868424000000005</v>
      </c>
      <c r="AD104" s="31">
        <v>51098.656780999998</v>
      </c>
      <c r="AE104" s="31">
        <v>50729.358723999998</v>
      </c>
      <c r="AF104" s="31">
        <v>49450.883930999997</v>
      </c>
      <c r="AG104" s="31">
        <v>0</v>
      </c>
      <c r="AH104" s="31">
        <v>0</v>
      </c>
      <c r="AI104" s="29">
        <v>57505.227625</v>
      </c>
      <c r="AJ104" s="29">
        <v>48712.224606000003</v>
      </c>
      <c r="AK104" s="30">
        <v>130292.149299</v>
      </c>
      <c r="AL104" s="30">
        <v>263244.70105700003</v>
      </c>
      <c r="AM104" s="30">
        <v>264296.57061</v>
      </c>
      <c r="AN104" s="31">
        <v>59731.300612999999</v>
      </c>
      <c r="AO104" s="31">
        <v>48817.430372000003</v>
      </c>
      <c r="AP104" s="31">
        <v>48557.344064999997</v>
      </c>
      <c r="AQ104" s="31">
        <v>0</v>
      </c>
      <c r="AR104" s="29">
        <v>35474.386874999997</v>
      </c>
      <c r="AS104" s="29">
        <v>33704.306885999998</v>
      </c>
      <c r="AT104" s="30">
        <v>57970.478436999998</v>
      </c>
      <c r="AU104" s="30">
        <v>181242.15089700001</v>
      </c>
      <c r="AV104" s="31">
        <v>38028.946528</v>
      </c>
      <c r="AW104" s="31">
        <v>34727.701480000003</v>
      </c>
      <c r="AX104" s="31">
        <v>38953.987283000002</v>
      </c>
      <c r="AY104" s="29">
        <v>42546.103558000003</v>
      </c>
      <c r="AZ104" s="29">
        <v>0</v>
      </c>
      <c r="BA104" s="30">
        <v>62436.214870000003</v>
      </c>
      <c r="BB104" s="30">
        <v>0</v>
      </c>
      <c r="BC104" s="31">
        <v>46351.483696000003</v>
      </c>
      <c r="BD104" s="31">
        <v>0</v>
      </c>
    </row>
    <row r="105" spans="1:56" x14ac:dyDescent="0.3">
      <c r="A105" s="43"/>
      <c r="B105" s="43"/>
      <c r="C105" s="14" t="s">
        <v>208</v>
      </c>
      <c r="D105" s="3" t="s">
        <v>71</v>
      </c>
      <c r="E105" s="3" t="s">
        <v>219</v>
      </c>
      <c r="F105" s="3" t="s">
        <v>73</v>
      </c>
      <c r="G105" s="29">
        <v>3439537.181843</v>
      </c>
      <c r="H105" s="29">
        <v>821507.31404900004</v>
      </c>
      <c r="I105" s="29">
        <v>0</v>
      </c>
      <c r="J105" s="29">
        <v>0</v>
      </c>
      <c r="K105" s="29">
        <v>0</v>
      </c>
      <c r="L105" s="30">
        <v>7475249.3885850003</v>
      </c>
      <c r="M105" s="30">
        <v>4356405.4608659996</v>
      </c>
      <c r="N105" s="30">
        <v>4413560.8687920002</v>
      </c>
      <c r="O105" s="30">
        <v>0</v>
      </c>
      <c r="P105" s="30">
        <v>0</v>
      </c>
      <c r="Q105" s="31">
        <v>3740363.1244669999</v>
      </c>
      <c r="R105" s="31">
        <v>807277.92718200001</v>
      </c>
      <c r="S105" s="31">
        <v>810220.05620400002</v>
      </c>
      <c r="T105" s="31">
        <v>0</v>
      </c>
      <c r="U105" s="29">
        <v>2488551.5701520001</v>
      </c>
      <c r="V105" s="29">
        <v>839246.91558599996</v>
      </c>
      <c r="W105" s="29">
        <v>0</v>
      </c>
      <c r="X105" s="29">
        <v>0</v>
      </c>
      <c r="Y105" s="30">
        <v>7803283.4836640004</v>
      </c>
      <c r="Z105" s="30">
        <v>4485224.3818910001</v>
      </c>
      <c r="AA105" s="30">
        <v>4404831.1810640004</v>
      </c>
      <c r="AB105" s="30">
        <v>742.94378900000004</v>
      </c>
      <c r="AC105" s="30">
        <v>742.94378900000004</v>
      </c>
      <c r="AD105" s="31">
        <v>2674731.7472990002</v>
      </c>
      <c r="AE105" s="31">
        <v>873184.36345499998</v>
      </c>
      <c r="AF105" s="31">
        <v>850711.23401500005</v>
      </c>
      <c r="AG105" s="31">
        <v>0</v>
      </c>
      <c r="AH105" s="31">
        <v>0</v>
      </c>
      <c r="AI105" s="29">
        <v>2297616.5241</v>
      </c>
      <c r="AJ105" s="29">
        <v>698640.39663199999</v>
      </c>
      <c r="AK105" s="30">
        <v>11586236.332419001</v>
      </c>
      <c r="AL105" s="30">
        <v>3320597.6126959999</v>
      </c>
      <c r="AM105" s="30">
        <v>3347546.4566520001</v>
      </c>
      <c r="AN105" s="31">
        <v>2443778.497856</v>
      </c>
      <c r="AO105" s="31">
        <v>686054.50718700001</v>
      </c>
      <c r="AP105" s="31">
        <v>691381.39935600001</v>
      </c>
      <c r="AQ105" s="31">
        <v>0</v>
      </c>
      <c r="AR105" s="29">
        <v>1837918.8474719999</v>
      </c>
      <c r="AS105" s="29">
        <v>495226.67936800001</v>
      </c>
      <c r="AT105" s="30">
        <v>7015400.0202230001</v>
      </c>
      <c r="AU105" s="30">
        <v>2391738.9556189999</v>
      </c>
      <c r="AV105" s="31">
        <v>1987590.903441</v>
      </c>
      <c r="AW105" s="31">
        <v>511989.787083</v>
      </c>
      <c r="AX105" s="31">
        <v>1910620.2057930001</v>
      </c>
      <c r="AY105" s="29">
        <v>945471.19717900001</v>
      </c>
      <c r="AZ105" s="29">
        <v>0</v>
      </c>
      <c r="BA105" s="30">
        <v>3608687.010514</v>
      </c>
      <c r="BB105" s="30">
        <v>0</v>
      </c>
      <c r="BC105" s="31">
        <v>1008571.816721</v>
      </c>
      <c r="BD105" s="31">
        <v>0</v>
      </c>
    </row>
    <row r="106" spans="1:56" x14ac:dyDescent="0.3">
      <c r="A106" s="43"/>
      <c r="B106" s="43"/>
      <c r="C106" s="14" t="s">
        <v>208</v>
      </c>
      <c r="D106" s="3" t="s">
        <v>74</v>
      </c>
      <c r="E106" s="3" t="s">
        <v>220</v>
      </c>
      <c r="F106" s="3" t="s">
        <v>76</v>
      </c>
      <c r="G106" s="29">
        <v>34395.371818</v>
      </c>
      <c r="H106" s="29">
        <v>8215.0731400000004</v>
      </c>
      <c r="I106" s="29">
        <v>0</v>
      </c>
      <c r="J106" s="29">
        <v>0</v>
      </c>
      <c r="K106" s="29">
        <v>0</v>
      </c>
      <c r="L106" s="30">
        <v>74752.493885999997</v>
      </c>
      <c r="M106" s="30">
        <v>43564.054608999999</v>
      </c>
      <c r="N106" s="30">
        <v>44135.608688</v>
      </c>
      <c r="O106" s="30">
        <v>0</v>
      </c>
      <c r="P106" s="30">
        <v>0</v>
      </c>
      <c r="Q106" s="31">
        <v>37403.631244999997</v>
      </c>
      <c r="R106" s="31">
        <v>8072.7792719999998</v>
      </c>
      <c r="S106" s="31">
        <v>8102.200562</v>
      </c>
      <c r="T106" s="31">
        <v>0</v>
      </c>
      <c r="U106" s="29">
        <v>24885.515702000001</v>
      </c>
      <c r="V106" s="29">
        <v>8392.4691559999992</v>
      </c>
      <c r="W106" s="29">
        <v>0</v>
      </c>
      <c r="X106" s="29">
        <v>0</v>
      </c>
      <c r="Y106" s="30">
        <v>78032.834837000002</v>
      </c>
      <c r="Z106" s="30">
        <v>44852.243819000003</v>
      </c>
      <c r="AA106" s="30">
        <v>44048.311811</v>
      </c>
      <c r="AB106" s="30">
        <v>7.4294380000000002</v>
      </c>
      <c r="AC106" s="30">
        <v>7.4294380000000002</v>
      </c>
      <c r="AD106" s="31">
        <v>26747.317472999999</v>
      </c>
      <c r="AE106" s="31">
        <v>8731.8436349999993</v>
      </c>
      <c r="AF106" s="31">
        <v>8507.1123399999997</v>
      </c>
      <c r="AG106" s="31">
        <v>0</v>
      </c>
      <c r="AH106" s="31">
        <v>0</v>
      </c>
      <c r="AI106" s="29">
        <v>22976.165240999999</v>
      </c>
      <c r="AJ106" s="29">
        <v>6986.4039659999999</v>
      </c>
      <c r="AK106" s="30">
        <v>115862.36332400001</v>
      </c>
      <c r="AL106" s="30">
        <v>33205.976127000002</v>
      </c>
      <c r="AM106" s="30">
        <v>33475.464567000003</v>
      </c>
      <c r="AN106" s="31">
        <v>24437.784979</v>
      </c>
      <c r="AO106" s="31">
        <v>6860.5450719999999</v>
      </c>
      <c r="AP106" s="31">
        <v>6913.8139940000001</v>
      </c>
      <c r="AQ106" s="31">
        <v>0</v>
      </c>
      <c r="AR106" s="29">
        <v>18379.188474999999</v>
      </c>
      <c r="AS106" s="29">
        <v>4952.2667940000001</v>
      </c>
      <c r="AT106" s="30">
        <v>70154.000201999996</v>
      </c>
      <c r="AU106" s="30">
        <v>23917.389555999998</v>
      </c>
      <c r="AV106" s="31">
        <v>19875.909034</v>
      </c>
      <c r="AW106" s="31">
        <v>5119.8978710000001</v>
      </c>
      <c r="AX106" s="31">
        <v>19106.202057999999</v>
      </c>
      <c r="AY106" s="29">
        <v>9454.7119719999992</v>
      </c>
      <c r="AZ106" s="29">
        <v>0</v>
      </c>
      <c r="BA106" s="30">
        <v>36086.870105000002</v>
      </c>
      <c r="BB106" s="30">
        <v>0</v>
      </c>
      <c r="BC106" s="31">
        <v>10085.718167000001</v>
      </c>
      <c r="BD106" s="31">
        <v>0</v>
      </c>
    </row>
    <row r="107" spans="1:56" x14ac:dyDescent="0.3">
      <c r="A107" s="43"/>
      <c r="B107" s="43"/>
      <c r="C107" s="14" t="s">
        <v>208</v>
      </c>
      <c r="D107" s="3" t="s">
        <v>77</v>
      </c>
      <c r="E107" s="3" t="s">
        <v>221</v>
      </c>
      <c r="F107" s="3" t="s">
        <v>76</v>
      </c>
      <c r="G107" s="29">
        <v>275997.36220999999</v>
      </c>
      <c r="H107" s="29">
        <v>65919.872275000002</v>
      </c>
      <c r="I107" s="29">
        <v>0</v>
      </c>
      <c r="J107" s="29">
        <v>0</v>
      </c>
      <c r="K107" s="29">
        <v>0</v>
      </c>
      <c r="L107" s="30">
        <v>599833.35083600006</v>
      </c>
      <c r="M107" s="30">
        <v>349569.24503200001</v>
      </c>
      <c r="N107" s="30">
        <v>354155.54283499997</v>
      </c>
      <c r="O107" s="30">
        <v>0</v>
      </c>
      <c r="P107" s="30">
        <v>0</v>
      </c>
      <c r="Q107" s="31">
        <v>300136.41414000001</v>
      </c>
      <c r="R107" s="31">
        <v>64778.069458999998</v>
      </c>
      <c r="S107" s="31">
        <v>65014.153504000002</v>
      </c>
      <c r="T107" s="31">
        <v>0</v>
      </c>
      <c r="U107" s="29">
        <v>199687.81634600001</v>
      </c>
      <c r="V107" s="29">
        <v>67343.343798000002</v>
      </c>
      <c r="W107" s="29">
        <v>0</v>
      </c>
      <c r="X107" s="29">
        <v>0</v>
      </c>
      <c r="Y107" s="30">
        <v>626155.65531199996</v>
      </c>
      <c r="Z107" s="30">
        <v>359906.00853400002</v>
      </c>
      <c r="AA107" s="30">
        <v>353455.05010699999</v>
      </c>
      <c r="AB107" s="30">
        <v>59.615732000000001</v>
      </c>
      <c r="AC107" s="30">
        <v>59.615732000000001</v>
      </c>
      <c r="AD107" s="31">
        <v>214627.39544399999</v>
      </c>
      <c r="AE107" s="31">
        <v>70066.572417999996</v>
      </c>
      <c r="AF107" s="31">
        <v>68263.270369999998</v>
      </c>
      <c r="AG107" s="31">
        <v>0</v>
      </c>
      <c r="AH107" s="31">
        <v>0</v>
      </c>
      <c r="AI107" s="29">
        <v>184366.69426600001</v>
      </c>
      <c r="AJ107" s="29">
        <v>56060.712941999998</v>
      </c>
      <c r="AK107" s="30">
        <v>929709.57911599998</v>
      </c>
      <c r="AL107" s="30">
        <v>266453.34346200002</v>
      </c>
      <c r="AM107" s="30">
        <v>268615.78842300002</v>
      </c>
      <c r="AN107" s="31">
        <v>196095.10918900001</v>
      </c>
      <c r="AO107" s="31">
        <v>55050.788610000003</v>
      </c>
      <c r="AP107" s="31">
        <v>55478.232219999998</v>
      </c>
      <c r="AQ107" s="31">
        <v>0</v>
      </c>
      <c r="AR107" s="29">
        <v>157646.32537999999</v>
      </c>
      <c r="AS107" s="29">
        <v>42477.754846999997</v>
      </c>
      <c r="AT107" s="30">
        <v>601741.49461299996</v>
      </c>
      <c r="AU107" s="30">
        <v>205149.89447900001</v>
      </c>
      <c r="AV107" s="31">
        <v>170484.35120899999</v>
      </c>
      <c r="AW107" s="31">
        <v>43915.599797000003</v>
      </c>
      <c r="AX107" s="31">
        <v>153313.10845199999</v>
      </c>
      <c r="AY107" s="29">
        <v>94869.562894000002</v>
      </c>
      <c r="AZ107" s="29">
        <v>0</v>
      </c>
      <c r="BA107" s="30">
        <v>362099.40644599998</v>
      </c>
      <c r="BB107" s="30">
        <v>0</v>
      </c>
      <c r="BC107" s="31">
        <v>101201.14466200001</v>
      </c>
      <c r="BD107" s="31">
        <v>0</v>
      </c>
    </row>
    <row r="108" spans="1:56" x14ac:dyDescent="0.3">
      <c r="A108" s="43"/>
      <c r="B108" s="43"/>
      <c r="C108" s="14" t="s">
        <v>208</v>
      </c>
      <c r="D108" s="3" t="s">
        <v>79</v>
      </c>
      <c r="E108" s="3" t="s">
        <v>222</v>
      </c>
      <c r="F108" s="3" t="s">
        <v>73</v>
      </c>
      <c r="G108" s="29">
        <v>5519947.2441929998</v>
      </c>
      <c r="H108" s="29">
        <v>1318397.445508</v>
      </c>
      <c r="I108" s="29">
        <v>0</v>
      </c>
      <c r="J108" s="29">
        <v>0</v>
      </c>
      <c r="K108" s="29">
        <v>0</v>
      </c>
      <c r="L108" s="30">
        <v>11996667.016713999</v>
      </c>
      <c r="M108" s="30">
        <v>6991384.9006310003</v>
      </c>
      <c r="N108" s="30">
        <v>7083110.85671</v>
      </c>
      <c r="O108" s="30">
        <v>0</v>
      </c>
      <c r="P108" s="30">
        <v>0</v>
      </c>
      <c r="Q108" s="31">
        <v>6002728.2827979997</v>
      </c>
      <c r="R108" s="31">
        <v>1295561.3891799999</v>
      </c>
      <c r="S108" s="31">
        <v>1300283.0700729999</v>
      </c>
      <c r="T108" s="31">
        <v>0</v>
      </c>
      <c r="U108" s="29">
        <v>3993756.32693</v>
      </c>
      <c r="V108" s="29">
        <v>1346866.8759679999</v>
      </c>
      <c r="W108" s="29">
        <v>0</v>
      </c>
      <c r="X108" s="29">
        <v>0</v>
      </c>
      <c r="Y108" s="30">
        <v>12523113.106232001</v>
      </c>
      <c r="Z108" s="30">
        <v>7198120.1706739999</v>
      </c>
      <c r="AA108" s="30">
        <v>7069101.0021350002</v>
      </c>
      <c r="AB108" s="30">
        <v>1192.314635</v>
      </c>
      <c r="AC108" s="30">
        <v>1192.314635</v>
      </c>
      <c r="AD108" s="31">
        <v>4292547.9088869998</v>
      </c>
      <c r="AE108" s="31">
        <v>1401331.448361</v>
      </c>
      <c r="AF108" s="31">
        <v>1365265.4073900001</v>
      </c>
      <c r="AG108" s="31">
        <v>0</v>
      </c>
      <c r="AH108" s="31">
        <v>0</v>
      </c>
      <c r="AI108" s="29">
        <v>3687333.8853179999</v>
      </c>
      <c r="AJ108" s="29">
        <v>1121214.258833</v>
      </c>
      <c r="AK108" s="30">
        <v>18594191.582322001</v>
      </c>
      <c r="AL108" s="30">
        <v>5329066.8692389997</v>
      </c>
      <c r="AM108" s="30">
        <v>5372315.7684559999</v>
      </c>
      <c r="AN108" s="31">
        <v>3921902.1837789998</v>
      </c>
      <c r="AO108" s="31">
        <v>1101015.7722100001</v>
      </c>
      <c r="AP108" s="31">
        <v>1109564.6443960001</v>
      </c>
      <c r="AQ108" s="31">
        <v>0</v>
      </c>
      <c r="AR108" s="29">
        <v>3152926.5075920001</v>
      </c>
      <c r="AS108" s="29">
        <v>849555.09694800002</v>
      </c>
      <c r="AT108" s="30">
        <v>12034829.892269</v>
      </c>
      <c r="AU108" s="30">
        <v>4102997.889587</v>
      </c>
      <c r="AV108" s="31">
        <v>3409687.0241720001</v>
      </c>
      <c r="AW108" s="31">
        <v>878311.99594599998</v>
      </c>
      <c r="AX108" s="31">
        <v>3066262.1690329998</v>
      </c>
      <c r="AY108" s="29">
        <v>1897391.257888</v>
      </c>
      <c r="AZ108" s="29">
        <v>0</v>
      </c>
      <c r="BA108" s="30">
        <v>7241988.1289149998</v>
      </c>
      <c r="BB108" s="30">
        <v>0</v>
      </c>
      <c r="BC108" s="31">
        <v>2024022.893249</v>
      </c>
      <c r="BD108" s="31">
        <v>0</v>
      </c>
    </row>
    <row r="109" spans="1:56" x14ac:dyDescent="0.3">
      <c r="A109" s="43"/>
      <c r="B109" s="43"/>
      <c r="C109" s="14" t="s">
        <v>208</v>
      </c>
      <c r="D109" s="3" t="s">
        <v>81</v>
      </c>
      <c r="E109" s="3" t="s">
        <v>223</v>
      </c>
      <c r="F109" s="3" t="s">
        <v>76</v>
      </c>
      <c r="G109" s="29">
        <v>310392.73402799998</v>
      </c>
      <c r="H109" s="29">
        <v>74134.945416000002</v>
      </c>
      <c r="I109" s="29">
        <v>0</v>
      </c>
      <c r="J109" s="29">
        <v>0</v>
      </c>
      <c r="K109" s="29">
        <v>0</v>
      </c>
      <c r="L109" s="30">
        <v>674585.84472199995</v>
      </c>
      <c r="M109" s="30">
        <v>393133.29963999998</v>
      </c>
      <c r="N109" s="30">
        <v>398291.15152299998</v>
      </c>
      <c r="O109" s="30">
        <v>0</v>
      </c>
      <c r="P109" s="30">
        <v>0</v>
      </c>
      <c r="Q109" s="31">
        <v>337540.045385</v>
      </c>
      <c r="R109" s="31">
        <v>72850.848731000006</v>
      </c>
      <c r="S109" s="31">
        <v>73116.354066</v>
      </c>
      <c r="T109" s="31">
        <v>0</v>
      </c>
      <c r="U109" s="29">
        <v>224573.33204800001</v>
      </c>
      <c r="V109" s="29">
        <v>75735.812953999994</v>
      </c>
      <c r="W109" s="29">
        <v>0</v>
      </c>
      <c r="X109" s="29">
        <v>0</v>
      </c>
      <c r="Y109" s="30">
        <v>704188.49014799995</v>
      </c>
      <c r="Z109" s="30">
        <v>404758.25235299999</v>
      </c>
      <c r="AA109" s="30">
        <v>397503.36191699997</v>
      </c>
      <c r="AB109" s="30">
        <v>67.045169999999999</v>
      </c>
      <c r="AC109" s="30">
        <v>67.045169999999999</v>
      </c>
      <c r="AD109" s="31">
        <v>241374.712917</v>
      </c>
      <c r="AE109" s="31">
        <v>78798.416052999994</v>
      </c>
      <c r="AF109" s="31">
        <v>76770.382710000005</v>
      </c>
      <c r="AG109" s="31">
        <v>0</v>
      </c>
      <c r="AH109" s="31">
        <v>0</v>
      </c>
      <c r="AI109" s="29">
        <v>207342.85950699999</v>
      </c>
      <c r="AJ109" s="29">
        <v>63047.116908000004</v>
      </c>
      <c r="AK109" s="30">
        <v>1045571.94244</v>
      </c>
      <c r="AL109" s="30">
        <v>299659.31958900002</v>
      </c>
      <c r="AM109" s="30">
        <v>302091.252989</v>
      </c>
      <c r="AN109" s="31">
        <v>220532.89416699999</v>
      </c>
      <c r="AO109" s="31">
        <v>61911.333681999997</v>
      </c>
      <c r="AP109" s="31">
        <v>62392.046213000001</v>
      </c>
      <c r="AQ109" s="31">
        <v>0</v>
      </c>
      <c r="AR109" s="29">
        <v>176025.51385399999</v>
      </c>
      <c r="AS109" s="29">
        <v>47430.021640999999</v>
      </c>
      <c r="AT109" s="30">
        <v>671895.49481599999</v>
      </c>
      <c r="AU109" s="30">
        <v>229067.284036</v>
      </c>
      <c r="AV109" s="31">
        <v>190360.260243</v>
      </c>
      <c r="AW109" s="31">
        <v>49035.497668000004</v>
      </c>
      <c r="AX109" s="31">
        <v>172419.31051000001</v>
      </c>
      <c r="AY109" s="29">
        <v>104324.27486600001</v>
      </c>
      <c r="AZ109" s="29">
        <v>0</v>
      </c>
      <c r="BA109" s="30">
        <v>398186.27655100002</v>
      </c>
      <c r="BB109" s="30">
        <v>0</v>
      </c>
      <c r="BC109" s="31">
        <v>111286.86283</v>
      </c>
      <c r="BD109" s="31">
        <v>0</v>
      </c>
    </row>
    <row r="110" spans="1:56" x14ac:dyDescent="0.3">
      <c r="A110" s="43"/>
      <c r="B110" s="44"/>
      <c r="C110" s="15"/>
      <c r="D110" s="7"/>
      <c r="E110" s="7"/>
      <c r="F110" s="7"/>
      <c r="G110" s="32"/>
      <c r="H110" s="32"/>
      <c r="I110" s="32"/>
      <c r="J110" s="32"/>
      <c r="K110" s="32"/>
      <c r="L110" s="33"/>
      <c r="M110" s="33"/>
      <c r="N110" s="33"/>
      <c r="O110" s="33"/>
      <c r="P110" s="33"/>
      <c r="Q110" s="34"/>
      <c r="R110" s="34"/>
      <c r="S110" s="34"/>
      <c r="T110" s="34"/>
      <c r="U110" s="32"/>
      <c r="V110" s="32"/>
      <c r="W110" s="32"/>
      <c r="X110" s="32"/>
      <c r="Y110" s="33"/>
      <c r="Z110" s="33"/>
      <c r="AA110" s="33"/>
      <c r="AB110" s="33"/>
      <c r="AC110" s="33"/>
      <c r="AD110" s="34"/>
      <c r="AE110" s="34"/>
      <c r="AF110" s="34"/>
      <c r="AG110" s="34"/>
      <c r="AH110" s="34"/>
      <c r="AI110" s="32"/>
      <c r="AJ110" s="32"/>
      <c r="AK110" s="33"/>
      <c r="AL110" s="33"/>
      <c r="AM110" s="33"/>
      <c r="AN110" s="34"/>
      <c r="AO110" s="34"/>
      <c r="AP110" s="34"/>
      <c r="AQ110" s="34"/>
      <c r="AR110" s="32"/>
      <c r="AS110" s="32"/>
      <c r="AT110" s="33"/>
      <c r="AU110" s="33"/>
      <c r="AV110" s="34"/>
      <c r="AW110" s="34"/>
      <c r="AX110" s="34"/>
      <c r="AY110" s="32"/>
      <c r="AZ110" s="32"/>
      <c r="BA110" s="33"/>
      <c r="BB110" s="33"/>
      <c r="BC110" s="34"/>
      <c r="BD110" s="34"/>
    </row>
    <row r="111" spans="1:56" x14ac:dyDescent="0.3">
      <c r="A111" s="43"/>
      <c r="B111" s="42" t="s">
        <v>224</v>
      </c>
      <c r="C111" s="14" t="s">
        <v>225</v>
      </c>
      <c r="D111" s="3" t="s">
        <v>209</v>
      </c>
      <c r="E111" s="3" t="s">
        <v>226</v>
      </c>
      <c r="F111" s="3" t="s">
        <v>227</v>
      </c>
      <c r="G111" s="32"/>
      <c r="H111" s="32"/>
      <c r="I111" s="32"/>
      <c r="J111" s="32"/>
      <c r="K111" s="32"/>
      <c r="L111" s="30">
        <v>0.18409600000000001</v>
      </c>
      <c r="M111" s="30">
        <v>0.18409600000000001</v>
      </c>
      <c r="N111" s="30">
        <v>0.18409600000000001</v>
      </c>
      <c r="O111" s="30">
        <v>0.18409600000000001</v>
      </c>
      <c r="P111" s="30">
        <v>0.18410000000000001</v>
      </c>
      <c r="Q111" s="31">
        <v>0.18409600000000001</v>
      </c>
      <c r="R111" s="31">
        <v>0.18409600000000001</v>
      </c>
      <c r="S111" s="31">
        <v>0.18409600000000001</v>
      </c>
      <c r="T111" s="31">
        <v>0.18409600000000001</v>
      </c>
      <c r="U111" s="32"/>
      <c r="V111" s="32"/>
      <c r="W111" s="32"/>
      <c r="X111" s="32"/>
      <c r="Y111" s="30">
        <v>0.18409600000000001</v>
      </c>
      <c r="Z111" s="30">
        <v>0.18409600000000001</v>
      </c>
      <c r="AA111" s="30">
        <v>0.18409600000000001</v>
      </c>
      <c r="AB111" s="30">
        <v>0.18409600000000001</v>
      </c>
      <c r="AC111" s="30">
        <v>0.18409600000000001</v>
      </c>
      <c r="AD111" s="31">
        <v>0.18409600000000001</v>
      </c>
      <c r="AE111" s="31">
        <v>0.18409600000000001</v>
      </c>
      <c r="AF111" s="31">
        <v>0.18409600000000001</v>
      </c>
      <c r="AG111" s="31">
        <v>0.18409600000000001</v>
      </c>
      <c r="AH111" s="31">
        <v>0.18409600000000001</v>
      </c>
      <c r="AI111" s="32"/>
      <c r="AJ111" s="32"/>
      <c r="AK111" s="30">
        <v>0.18409600000000001</v>
      </c>
      <c r="AL111" s="30">
        <v>0.18409600000000001</v>
      </c>
      <c r="AM111" s="30">
        <v>0.18409600000000001</v>
      </c>
      <c r="AN111" s="31">
        <v>0.18409600000000001</v>
      </c>
      <c r="AO111" s="31">
        <v>0.18409600000000001</v>
      </c>
      <c r="AP111" s="31">
        <v>0.18409600000000001</v>
      </c>
      <c r="AQ111" s="31">
        <v>0.18409600000000001</v>
      </c>
      <c r="AR111" s="32"/>
      <c r="AS111" s="32"/>
      <c r="AT111" s="30">
        <v>0.20121600000000001</v>
      </c>
      <c r="AU111" s="30">
        <v>0.20121600000000001</v>
      </c>
      <c r="AV111" s="31">
        <v>0.20121600000000001</v>
      </c>
      <c r="AW111" s="31">
        <v>0.20121600000000001</v>
      </c>
      <c r="AX111" s="31">
        <v>0.18409600000000001</v>
      </c>
      <c r="AY111" s="32"/>
      <c r="AZ111" s="32"/>
      <c r="BA111" s="30">
        <v>0.24665300000000001</v>
      </c>
      <c r="BB111" s="30">
        <v>0.24665300000000001</v>
      </c>
      <c r="BC111" s="31">
        <v>0.24665300000000001</v>
      </c>
      <c r="BD111" s="31">
        <v>0.24665300000000001</v>
      </c>
    </row>
    <row r="112" spans="1:56" x14ac:dyDescent="0.3">
      <c r="A112" s="43"/>
      <c r="B112" s="43"/>
      <c r="C112" s="14" t="s">
        <v>225</v>
      </c>
      <c r="D112" s="3" t="s">
        <v>212</v>
      </c>
      <c r="E112" s="3" t="s">
        <v>228</v>
      </c>
      <c r="F112" s="3" t="s">
        <v>229</v>
      </c>
      <c r="G112" s="32"/>
      <c r="H112" s="32"/>
      <c r="I112" s="32"/>
      <c r="J112" s="32"/>
      <c r="K112" s="32"/>
      <c r="L112" s="30">
        <v>101880.740378</v>
      </c>
      <c r="M112" s="30">
        <v>155985.789647</v>
      </c>
      <c r="N112" s="30">
        <v>83955.670746999996</v>
      </c>
      <c r="O112" s="30">
        <v>70751.338543999998</v>
      </c>
      <c r="P112" s="30">
        <v>70751.338499999998</v>
      </c>
      <c r="Q112" s="31">
        <v>47850.959841000004</v>
      </c>
      <c r="R112" s="31">
        <v>40732.218384</v>
      </c>
      <c r="S112" s="31">
        <v>22306.888892999999</v>
      </c>
      <c r="T112" s="31">
        <v>4299.1528740000003</v>
      </c>
      <c r="U112" s="32"/>
      <c r="V112" s="32"/>
      <c r="W112" s="32"/>
      <c r="X112" s="32"/>
      <c r="Y112" s="30">
        <v>150744.43629700001</v>
      </c>
      <c r="Z112" s="30">
        <v>69658.362397000004</v>
      </c>
      <c r="AA112" s="30">
        <v>40281.363856000004</v>
      </c>
      <c r="AB112" s="30">
        <v>57705.306322999997</v>
      </c>
      <c r="AC112" s="30">
        <v>57705.306322999997</v>
      </c>
      <c r="AD112" s="31">
        <v>45435.237048000003</v>
      </c>
      <c r="AE112" s="31">
        <v>23317.142790999998</v>
      </c>
      <c r="AF112" s="31">
        <v>14409.427253</v>
      </c>
      <c r="AG112" s="31">
        <v>7930.2197889999998</v>
      </c>
      <c r="AH112" s="31">
        <v>7930.2197889999998</v>
      </c>
      <c r="AI112" s="32"/>
      <c r="AJ112" s="32"/>
      <c r="AK112" s="30">
        <v>145443.66102299999</v>
      </c>
      <c r="AL112" s="30">
        <v>121992.834934</v>
      </c>
      <c r="AM112" s="30">
        <v>66867.517147000006</v>
      </c>
      <c r="AN112" s="31">
        <v>47594.063278000001</v>
      </c>
      <c r="AO112" s="31">
        <v>32304.837082999999</v>
      </c>
      <c r="AP112" s="31">
        <v>17660.950933</v>
      </c>
      <c r="AQ112" s="31">
        <v>5668.3934529999997</v>
      </c>
      <c r="AR112" s="32"/>
      <c r="AS112" s="32"/>
      <c r="AT112" s="30">
        <v>151982.859597</v>
      </c>
      <c r="AU112" s="30">
        <v>61024.607991999997</v>
      </c>
      <c r="AV112" s="31">
        <v>29355.933276</v>
      </c>
      <c r="AW112" s="31">
        <v>16632.035494</v>
      </c>
      <c r="AX112" s="31">
        <v>17563.982189999999</v>
      </c>
      <c r="AY112" s="32"/>
      <c r="AZ112" s="32"/>
      <c r="BA112" s="30">
        <v>73055.339703999998</v>
      </c>
      <c r="BB112" s="30">
        <v>0</v>
      </c>
      <c r="BC112" s="31">
        <v>19329.431914000001</v>
      </c>
      <c r="BD112" s="31">
        <v>0</v>
      </c>
    </row>
    <row r="113" spans="1:56" x14ac:dyDescent="0.3">
      <c r="A113" s="43"/>
      <c r="B113" s="43"/>
      <c r="C113" s="14" t="s">
        <v>225</v>
      </c>
      <c r="D113" s="3" t="s">
        <v>215</v>
      </c>
      <c r="E113" s="3" t="s">
        <v>230</v>
      </c>
      <c r="F113" s="3" t="s">
        <v>231</v>
      </c>
      <c r="G113" s="32"/>
      <c r="H113" s="32"/>
      <c r="I113" s="32"/>
      <c r="J113" s="32"/>
      <c r="K113" s="32"/>
      <c r="L113" s="30">
        <v>2536116.1129370001</v>
      </c>
      <c r="M113" s="30">
        <v>5221128.525041</v>
      </c>
      <c r="N113" s="30">
        <v>2831873.9088710002</v>
      </c>
      <c r="O113" s="30">
        <v>3655246.6474100002</v>
      </c>
      <c r="P113" s="30">
        <v>3650685.9805999999</v>
      </c>
      <c r="Q113" s="31">
        <v>1859163.2765850001</v>
      </c>
      <c r="R113" s="31">
        <v>1429338.390324</v>
      </c>
      <c r="S113" s="31">
        <v>814666.14712700003</v>
      </c>
      <c r="T113" s="31">
        <v>279000.208537</v>
      </c>
      <c r="U113" s="32"/>
      <c r="V113" s="32"/>
      <c r="W113" s="32"/>
      <c r="X113" s="32"/>
      <c r="Y113" s="30">
        <v>2585637.3835669998</v>
      </c>
      <c r="Z113" s="30">
        <v>3255966.632948</v>
      </c>
      <c r="AA113" s="30">
        <v>1834129.0317619999</v>
      </c>
      <c r="AB113" s="30">
        <v>5457112.4666320002</v>
      </c>
      <c r="AC113" s="30">
        <v>3692465.0478019998</v>
      </c>
      <c r="AD113" s="31">
        <v>1333706.1399670001</v>
      </c>
      <c r="AE113" s="31">
        <v>1217738.630081</v>
      </c>
      <c r="AF113" s="31">
        <v>610367.22880599997</v>
      </c>
      <c r="AG113" s="31">
        <v>687053.74984800001</v>
      </c>
      <c r="AH113" s="31">
        <v>396135.80281899997</v>
      </c>
      <c r="AI113" s="32"/>
      <c r="AJ113" s="32"/>
      <c r="AK113" s="30">
        <v>1428428.0394570001</v>
      </c>
      <c r="AL113" s="30">
        <v>5882207.6563259996</v>
      </c>
      <c r="AM113" s="30">
        <v>3312764.9803030002</v>
      </c>
      <c r="AN113" s="31">
        <v>1404865.4151969999</v>
      </c>
      <c r="AO113" s="31">
        <v>1553254.3255799999</v>
      </c>
      <c r="AP113" s="31">
        <v>1351649.2371710001</v>
      </c>
      <c r="AQ113" s="31">
        <v>384402.92536699999</v>
      </c>
      <c r="AR113" s="32"/>
      <c r="AS113" s="32"/>
      <c r="AT113" s="30">
        <v>1400828.5199780001</v>
      </c>
      <c r="AU113" s="30">
        <v>2790552.0252729999</v>
      </c>
      <c r="AV113" s="31">
        <v>565273.83581900003</v>
      </c>
      <c r="AW113" s="31">
        <v>830486.53729300003</v>
      </c>
      <c r="AX113" s="31">
        <v>376785.78732200002</v>
      </c>
      <c r="AY113" s="32"/>
      <c r="AZ113" s="32"/>
      <c r="BA113" s="30">
        <v>769347.687638</v>
      </c>
      <c r="BB113" s="30">
        <v>0</v>
      </c>
      <c r="BC113" s="31">
        <v>532564.29168499995</v>
      </c>
      <c r="BD113" s="31">
        <v>0</v>
      </c>
    </row>
    <row r="114" spans="1:56" x14ac:dyDescent="0.3">
      <c r="A114" s="43"/>
      <c r="B114" s="43"/>
      <c r="C114" s="14" t="s">
        <v>225</v>
      </c>
      <c r="D114" s="3" t="s">
        <v>217</v>
      </c>
      <c r="E114" s="3" t="s">
        <v>232</v>
      </c>
      <c r="F114" s="3" t="s">
        <v>231</v>
      </c>
      <c r="G114" s="32"/>
      <c r="H114" s="32"/>
      <c r="I114" s="32"/>
      <c r="J114" s="32"/>
      <c r="K114" s="32"/>
      <c r="L114" s="30">
        <v>2160288.2740349998</v>
      </c>
      <c r="M114" s="30">
        <v>4752014.8514630003</v>
      </c>
      <c r="N114" s="30">
        <v>2577062.0249819998</v>
      </c>
      <c r="O114" s="30">
        <v>3349107.532842</v>
      </c>
      <c r="P114" s="30">
        <v>3343922.6885000002</v>
      </c>
      <c r="Q114" s="31">
        <v>1683530.8168879999</v>
      </c>
      <c r="R114" s="31">
        <v>1303508.6295429999</v>
      </c>
      <c r="S114" s="31">
        <v>743633.81094500003</v>
      </c>
      <c r="T114" s="31">
        <v>260349.09146299999</v>
      </c>
      <c r="U114" s="32"/>
      <c r="V114" s="32"/>
      <c r="W114" s="32"/>
      <c r="X114" s="32"/>
      <c r="Y114" s="30">
        <v>2124666.3696039999</v>
      </c>
      <c r="Z114" s="30">
        <v>3016730.4096639999</v>
      </c>
      <c r="AA114" s="30">
        <v>1696985.25452</v>
      </c>
      <c r="AB114" s="30">
        <v>5111381.4737790003</v>
      </c>
      <c r="AC114" s="30">
        <v>3416909.2891279999</v>
      </c>
      <c r="AD114" s="31">
        <v>1194865.3812810001</v>
      </c>
      <c r="AE114" s="31">
        <v>1131570.923164</v>
      </c>
      <c r="AF114" s="31">
        <v>561828.80697000003</v>
      </c>
      <c r="AG114" s="31">
        <v>645858.01853400003</v>
      </c>
      <c r="AH114" s="31">
        <v>366452.57281400001</v>
      </c>
      <c r="AI114" s="32"/>
      <c r="AJ114" s="32"/>
      <c r="AK114" s="30">
        <v>1172469.0140130001</v>
      </c>
      <c r="AL114" s="30">
        <v>5456560.7893679999</v>
      </c>
      <c r="AM114" s="30">
        <v>3074556.1723349998</v>
      </c>
      <c r="AN114" s="31">
        <v>1262716.0468580001</v>
      </c>
      <c r="AO114" s="31">
        <v>1441883.3899670001</v>
      </c>
      <c r="AP114" s="31">
        <v>1270067.5487170001</v>
      </c>
      <c r="AQ114" s="31">
        <v>359781.56537600001</v>
      </c>
      <c r="AR114" s="32"/>
      <c r="AS114" s="32"/>
      <c r="AT114" s="30">
        <v>1051412.469728</v>
      </c>
      <c r="AU114" s="30">
        <v>2551203.7355289999</v>
      </c>
      <c r="AV114" s="31">
        <v>492051.51228600001</v>
      </c>
      <c r="AW114" s="31">
        <v>763482.68107499997</v>
      </c>
      <c r="AX114" s="31">
        <v>328102.73979000002</v>
      </c>
      <c r="AY114" s="32"/>
      <c r="AZ114" s="32"/>
      <c r="BA114" s="30">
        <v>627823.67738999997</v>
      </c>
      <c r="BB114" s="30">
        <v>0</v>
      </c>
      <c r="BC114" s="31">
        <v>484356.80405500002</v>
      </c>
      <c r="BD114" s="31">
        <v>0</v>
      </c>
    </row>
    <row r="115" spans="1:56" x14ac:dyDescent="0.3">
      <c r="A115" s="43"/>
      <c r="B115" s="43"/>
      <c r="C115" s="14" t="s">
        <v>225</v>
      </c>
      <c r="D115" s="3" t="s">
        <v>71</v>
      </c>
      <c r="E115" s="3" t="s">
        <v>233</v>
      </c>
      <c r="F115" s="3" t="s">
        <v>73</v>
      </c>
      <c r="G115" s="32"/>
      <c r="H115" s="32"/>
      <c r="I115" s="32"/>
      <c r="J115" s="32"/>
      <c r="K115" s="32"/>
      <c r="L115" s="30">
        <v>288322.49526900001</v>
      </c>
      <c r="M115" s="30">
        <v>441439.78470100003</v>
      </c>
      <c r="N115" s="30">
        <v>237594.54821499999</v>
      </c>
      <c r="O115" s="30">
        <v>200226.28808</v>
      </c>
      <c r="P115" s="30">
        <v>200226.28810000001</v>
      </c>
      <c r="Q115" s="31">
        <v>135418.21635</v>
      </c>
      <c r="R115" s="31">
        <v>115272.178027</v>
      </c>
      <c r="S115" s="31">
        <v>63128.495566999998</v>
      </c>
      <c r="T115" s="31">
        <v>12166.602634000001</v>
      </c>
      <c r="U115" s="32"/>
      <c r="V115" s="32"/>
      <c r="W115" s="32"/>
      <c r="X115" s="32"/>
      <c r="Y115" s="30">
        <v>426606.75472000003</v>
      </c>
      <c r="Z115" s="30">
        <v>197133.16558500001</v>
      </c>
      <c r="AA115" s="30">
        <v>113996.25971300001</v>
      </c>
      <c r="AB115" s="30">
        <v>163306.01689500001</v>
      </c>
      <c r="AC115" s="30">
        <v>163306.01689500001</v>
      </c>
      <c r="AD115" s="31">
        <v>128581.720845</v>
      </c>
      <c r="AE115" s="31">
        <v>65987.5141</v>
      </c>
      <c r="AF115" s="31">
        <v>40778.679127000003</v>
      </c>
      <c r="AG115" s="31">
        <v>22442.522002000002</v>
      </c>
      <c r="AH115" s="31">
        <v>22442.522002000002</v>
      </c>
      <c r="AI115" s="32"/>
      <c r="AJ115" s="32"/>
      <c r="AK115" s="30">
        <v>411605.56069399999</v>
      </c>
      <c r="AL115" s="30">
        <v>345239.722863</v>
      </c>
      <c r="AM115" s="30">
        <v>189235.07352599999</v>
      </c>
      <c r="AN115" s="31">
        <v>134691.199077</v>
      </c>
      <c r="AO115" s="31">
        <v>91422.688943999994</v>
      </c>
      <c r="AP115" s="31">
        <v>49980.491141999999</v>
      </c>
      <c r="AQ115" s="31">
        <v>16041.553473</v>
      </c>
      <c r="AR115" s="32"/>
      <c r="AS115" s="32"/>
      <c r="AT115" s="30">
        <v>430111.49265999999</v>
      </c>
      <c r="AU115" s="30">
        <v>172699.640617</v>
      </c>
      <c r="AV115" s="31">
        <v>83077.291171000004</v>
      </c>
      <c r="AW115" s="31">
        <v>47068.660448000002</v>
      </c>
      <c r="AX115" s="31">
        <v>49706.069597000002</v>
      </c>
      <c r="AY115" s="32"/>
      <c r="AZ115" s="32"/>
      <c r="BA115" s="30">
        <v>206746.611362</v>
      </c>
      <c r="BB115" s="30">
        <v>0</v>
      </c>
      <c r="BC115" s="31">
        <v>54702.292315999999</v>
      </c>
      <c r="BD115" s="31">
        <v>0</v>
      </c>
    </row>
    <row r="116" spans="1:56" x14ac:dyDescent="0.3">
      <c r="A116" s="43"/>
      <c r="B116" s="43"/>
      <c r="C116" s="14" t="s">
        <v>225</v>
      </c>
      <c r="D116" s="3" t="s">
        <v>74</v>
      </c>
      <c r="E116" s="3" t="s">
        <v>234</v>
      </c>
      <c r="F116" s="3" t="s">
        <v>76</v>
      </c>
      <c r="G116" s="32"/>
      <c r="H116" s="32"/>
      <c r="I116" s="32"/>
      <c r="J116" s="32"/>
      <c r="K116" s="32"/>
      <c r="L116" s="30">
        <v>8649.6748580000003</v>
      </c>
      <c r="M116" s="30">
        <v>13243.193541000001</v>
      </c>
      <c r="N116" s="30">
        <v>7127.8364460000003</v>
      </c>
      <c r="O116" s="30">
        <v>6006.7886420000004</v>
      </c>
      <c r="P116" s="30">
        <v>6006.7885999999999</v>
      </c>
      <c r="Q116" s="31">
        <v>4062.5464900000002</v>
      </c>
      <c r="R116" s="31">
        <v>3458.1653409999999</v>
      </c>
      <c r="S116" s="31">
        <v>1893.854867</v>
      </c>
      <c r="T116" s="31">
        <v>364.99807900000002</v>
      </c>
      <c r="U116" s="32"/>
      <c r="V116" s="32"/>
      <c r="W116" s="32"/>
      <c r="X116" s="32"/>
      <c r="Y116" s="30">
        <v>12798.202642</v>
      </c>
      <c r="Z116" s="30">
        <v>5913.994968</v>
      </c>
      <c r="AA116" s="30">
        <v>3419.8877910000001</v>
      </c>
      <c r="AB116" s="30">
        <v>4899.180507</v>
      </c>
      <c r="AC116" s="30">
        <v>4899.180507</v>
      </c>
      <c r="AD116" s="31">
        <v>3857.4516250000001</v>
      </c>
      <c r="AE116" s="31">
        <v>1979.625423</v>
      </c>
      <c r="AF116" s="31">
        <v>1223.3603740000001</v>
      </c>
      <c r="AG116" s="31">
        <v>673.27566000000002</v>
      </c>
      <c r="AH116" s="31">
        <v>673.27566000000002</v>
      </c>
      <c r="AI116" s="32"/>
      <c r="AJ116" s="32"/>
      <c r="AK116" s="30">
        <v>12348.166821000001</v>
      </c>
      <c r="AL116" s="30">
        <v>10357.191686</v>
      </c>
      <c r="AM116" s="30">
        <v>5677.0522060000003</v>
      </c>
      <c r="AN116" s="31">
        <v>4040.7359719999999</v>
      </c>
      <c r="AO116" s="31">
        <v>2742.680668</v>
      </c>
      <c r="AP116" s="31">
        <v>1499.414734</v>
      </c>
      <c r="AQ116" s="31">
        <v>481.24660399999999</v>
      </c>
      <c r="AR116" s="32"/>
      <c r="AS116" s="32"/>
      <c r="AT116" s="30">
        <v>12903.344779999999</v>
      </c>
      <c r="AU116" s="30">
        <v>5180.989219</v>
      </c>
      <c r="AV116" s="31">
        <v>2492.3187349999998</v>
      </c>
      <c r="AW116" s="31">
        <v>1412.0598130000001</v>
      </c>
      <c r="AX116" s="31">
        <v>1491.182088</v>
      </c>
      <c r="AY116" s="32"/>
      <c r="AZ116" s="32"/>
      <c r="BA116" s="30">
        <v>6202.3983410000001</v>
      </c>
      <c r="BB116" s="30">
        <v>0</v>
      </c>
      <c r="BC116" s="31">
        <v>1641.068769</v>
      </c>
      <c r="BD116" s="31">
        <v>0</v>
      </c>
    </row>
    <row r="117" spans="1:56" x14ac:dyDescent="0.3">
      <c r="A117" s="43"/>
      <c r="B117" s="43"/>
      <c r="C117" s="14" t="s">
        <v>225</v>
      </c>
      <c r="D117" s="3" t="s">
        <v>77</v>
      </c>
      <c r="E117" s="3" t="s">
        <v>235</v>
      </c>
      <c r="F117" s="3" t="s">
        <v>76</v>
      </c>
      <c r="G117" s="32"/>
      <c r="H117" s="32"/>
      <c r="I117" s="32"/>
      <c r="J117" s="32"/>
      <c r="K117" s="32"/>
      <c r="L117" s="30">
        <v>18755.792083</v>
      </c>
      <c r="M117" s="30">
        <v>28716.291496000002</v>
      </c>
      <c r="N117" s="30">
        <v>15455.866329</v>
      </c>
      <c r="O117" s="30">
        <v>13025.007379999999</v>
      </c>
      <c r="P117" s="30">
        <v>13025.0074</v>
      </c>
      <c r="Q117" s="31">
        <v>8809.1493100000007</v>
      </c>
      <c r="R117" s="31">
        <v>7498.6206050000001</v>
      </c>
      <c r="S117" s="31">
        <v>4106.5992310000001</v>
      </c>
      <c r="T117" s="31">
        <v>791.45496100000003</v>
      </c>
      <c r="U117" s="32"/>
      <c r="V117" s="32"/>
      <c r="W117" s="32"/>
      <c r="X117" s="32"/>
      <c r="Y117" s="30">
        <v>27751.381609</v>
      </c>
      <c r="Z117" s="30">
        <v>12823.795323</v>
      </c>
      <c r="AA117" s="30">
        <v>7415.6202880000001</v>
      </c>
      <c r="AB117" s="30">
        <v>10623.290756</v>
      </c>
      <c r="AC117" s="30">
        <v>10623.290756</v>
      </c>
      <c r="AD117" s="31">
        <v>8364.4254660000006</v>
      </c>
      <c r="AE117" s="31">
        <v>4292.5824899999998</v>
      </c>
      <c r="AF117" s="31">
        <v>2652.7115979999999</v>
      </c>
      <c r="AG117" s="31">
        <v>1459.918263</v>
      </c>
      <c r="AH117" s="31">
        <v>1459.918263</v>
      </c>
      <c r="AI117" s="32"/>
      <c r="AJ117" s="32"/>
      <c r="AK117" s="30">
        <v>26775.53241</v>
      </c>
      <c r="AL117" s="30">
        <v>22458.339419</v>
      </c>
      <c r="AM117" s="30">
        <v>12310.0131</v>
      </c>
      <c r="AN117" s="31">
        <v>8761.8557930000006</v>
      </c>
      <c r="AO117" s="31">
        <v>5947.1771150000004</v>
      </c>
      <c r="AP117" s="31">
        <v>3251.3026749999999</v>
      </c>
      <c r="AQ117" s="31">
        <v>1043.5260740000001</v>
      </c>
      <c r="AR117" s="32"/>
      <c r="AS117" s="32"/>
      <c r="AT117" s="30">
        <v>30581.376823999999</v>
      </c>
      <c r="AU117" s="30">
        <v>12279.125011</v>
      </c>
      <c r="AV117" s="31">
        <v>5906.8822620000001</v>
      </c>
      <c r="AW117" s="31">
        <v>3346.6309700000002</v>
      </c>
      <c r="AX117" s="31">
        <v>3233.4511590000002</v>
      </c>
      <c r="AY117" s="32"/>
      <c r="AZ117" s="32"/>
      <c r="BA117" s="30">
        <v>18019.347351</v>
      </c>
      <c r="BB117" s="30">
        <v>0</v>
      </c>
      <c r="BC117" s="31">
        <v>4767.6699500000004</v>
      </c>
      <c r="BD117" s="31">
        <v>0</v>
      </c>
    </row>
    <row r="118" spans="1:56" x14ac:dyDescent="0.3">
      <c r="A118" s="43"/>
      <c r="B118" s="43"/>
      <c r="C118" s="14" t="s">
        <v>225</v>
      </c>
      <c r="D118" s="3" t="s">
        <v>79</v>
      </c>
      <c r="E118" s="3" t="s">
        <v>236</v>
      </c>
      <c r="F118" s="3" t="s">
        <v>73</v>
      </c>
      <c r="G118" s="32"/>
      <c r="H118" s="32"/>
      <c r="I118" s="32"/>
      <c r="J118" s="32"/>
      <c r="K118" s="32"/>
      <c r="L118" s="30">
        <v>562673.76249500003</v>
      </c>
      <c r="M118" s="30">
        <v>861488.74488999997</v>
      </c>
      <c r="N118" s="30">
        <v>463675.98985900002</v>
      </c>
      <c r="O118" s="30">
        <v>390750.22141200001</v>
      </c>
      <c r="P118" s="30">
        <v>390750.22139999998</v>
      </c>
      <c r="Q118" s="31">
        <v>264274.47928700002</v>
      </c>
      <c r="R118" s="31">
        <v>224958.61816499999</v>
      </c>
      <c r="S118" s="31">
        <v>123197.976933</v>
      </c>
      <c r="T118" s="31">
        <v>23743.648840999998</v>
      </c>
      <c r="U118" s="32"/>
      <c r="V118" s="32"/>
      <c r="W118" s="32"/>
      <c r="X118" s="32"/>
      <c r="Y118" s="30">
        <v>832541.44828400004</v>
      </c>
      <c r="Z118" s="30">
        <v>384713.859696</v>
      </c>
      <c r="AA118" s="30">
        <v>222468.60864300001</v>
      </c>
      <c r="AB118" s="30">
        <v>318698.722687</v>
      </c>
      <c r="AC118" s="30">
        <v>318698.722687</v>
      </c>
      <c r="AD118" s="31">
        <v>250932.763981</v>
      </c>
      <c r="AE118" s="31">
        <v>128777.47468699999</v>
      </c>
      <c r="AF118" s="31">
        <v>79581.347936000006</v>
      </c>
      <c r="AG118" s="31">
        <v>43797.547892000002</v>
      </c>
      <c r="AH118" s="31">
        <v>43797.547892000002</v>
      </c>
      <c r="AI118" s="32"/>
      <c r="AJ118" s="32"/>
      <c r="AK118" s="30">
        <v>803265.97230499994</v>
      </c>
      <c r="AL118" s="30">
        <v>673750.18256900006</v>
      </c>
      <c r="AM118" s="30">
        <v>369300.39301200002</v>
      </c>
      <c r="AN118" s="31">
        <v>262855.67378000001</v>
      </c>
      <c r="AO118" s="31">
        <v>178415.31344100001</v>
      </c>
      <c r="AP118" s="31">
        <v>97539.080243000004</v>
      </c>
      <c r="AQ118" s="31">
        <v>31305.782230000001</v>
      </c>
      <c r="AR118" s="32"/>
      <c r="AS118" s="32"/>
      <c r="AT118" s="30">
        <v>917441.30472100002</v>
      </c>
      <c r="AU118" s="30">
        <v>368373.75033299997</v>
      </c>
      <c r="AV118" s="31">
        <v>177206.467871</v>
      </c>
      <c r="AW118" s="31">
        <v>100398.929091</v>
      </c>
      <c r="AX118" s="31">
        <v>97003.534784000003</v>
      </c>
      <c r="AY118" s="32"/>
      <c r="AZ118" s="32"/>
      <c r="BA118" s="30">
        <v>540580.42053799995</v>
      </c>
      <c r="BB118" s="30">
        <v>0</v>
      </c>
      <c r="BC118" s="31">
        <v>143030.098486</v>
      </c>
      <c r="BD118" s="31">
        <v>0</v>
      </c>
    </row>
    <row r="119" spans="1:56" x14ac:dyDescent="0.3">
      <c r="A119" s="43"/>
      <c r="B119" s="43"/>
      <c r="C119" s="14" t="s">
        <v>225</v>
      </c>
      <c r="D119" s="3" t="s">
        <v>81</v>
      </c>
      <c r="E119" s="3" t="s">
        <v>237</v>
      </c>
      <c r="F119" s="3" t="s">
        <v>76</v>
      </c>
      <c r="G119" s="32"/>
      <c r="H119" s="32"/>
      <c r="I119" s="32"/>
      <c r="J119" s="32"/>
      <c r="K119" s="32"/>
      <c r="L119" s="30">
        <v>27405.466940999999</v>
      </c>
      <c r="M119" s="30">
        <v>41959.485036999999</v>
      </c>
      <c r="N119" s="30">
        <v>22583.702775000002</v>
      </c>
      <c r="O119" s="30">
        <v>19031.796022999999</v>
      </c>
      <c r="P119" s="30">
        <v>19031.795999999998</v>
      </c>
      <c r="Q119" s="31">
        <v>12871.6958</v>
      </c>
      <c r="R119" s="31">
        <v>10956.785946</v>
      </c>
      <c r="S119" s="31">
        <v>6000.4540980000002</v>
      </c>
      <c r="T119" s="31">
        <v>1156.4530400000001</v>
      </c>
      <c r="U119" s="32"/>
      <c r="V119" s="32"/>
      <c r="W119" s="32"/>
      <c r="X119" s="32"/>
      <c r="Y119" s="30">
        <v>40549.584251</v>
      </c>
      <c r="Z119" s="30">
        <v>18737.790291000001</v>
      </c>
      <c r="AA119" s="30">
        <v>10835.508078999999</v>
      </c>
      <c r="AB119" s="30">
        <v>15522.471262999999</v>
      </c>
      <c r="AC119" s="30">
        <v>15522.471262999999</v>
      </c>
      <c r="AD119" s="31">
        <v>12221.877091</v>
      </c>
      <c r="AE119" s="31">
        <v>6272.2079130000002</v>
      </c>
      <c r="AF119" s="31">
        <v>3876.0719720000002</v>
      </c>
      <c r="AG119" s="31">
        <v>2133.1939229999998</v>
      </c>
      <c r="AH119" s="31">
        <v>2133.1939229999998</v>
      </c>
      <c r="AI119" s="32"/>
      <c r="AJ119" s="32"/>
      <c r="AK119" s="30">
        <v>39123.699230999999</v>
      </c>
      <c r="AL119" s="30">
        <v>32815.531105000002</v>
      </c>
      <c r="AM119" s="30">
        <v>17987.065306</v>
      </c>
      <c r="AN119" s="31">
        <v>12802.591764999999</v>
      </c>
      <c r="AO119" s="31">
        <v>8689.8577829999995</v>
      </c>
      <c r="AP119" s="31">
        <v>4750.7174089999999</v>
      </c>
      <c r="AQ119" s="31">
        <v>1524.772678</v>
      </c>
      <c r="AR119" s="32"/>
      <c r="AS119" s="32"/>
      <c r="AT119" s="30">
        <v>43484.721603999998</v>
      </c>
      <c r="AU119" s="30">
        <v>17460.114229999999</v>
      </c>
      <c r="AV119" s="31">
        <v>8399.2009969999999</v>
      </c>
      <c r="AW119" s="31">
        <v>4758.690783</v>
      </c>
      <c r="AX119" s="31">
        <v>4724.6332469999998</v>
      </c>
      <c r="AY119" s="32"/>
      <c r="AZ119" s="32"/>
      <c r="BA119" s="30">
        <v>24221.745692</v>
      </c>
      <c r="BB119" s="30">
        <v>0</v>
      </c>
      <c r="BC119" s="31">
        <v>6408.7387189999999</v>
      </c>
      <c r="BD119" s="31">
        <v>0</v>
      </c>
    </row>
    <row r="120" spans="1:56" x14ac:dyDescent="0.3">
      <c r="A120" s="43"/>
      <c r="B120" s="44"/>
      <c r="C120" s="14"/>
      <c r="G120" s="32"/>
      <c r="H120" s="32"/>
      <c r="I120" s="32"/>
      <c r="J120" s="32"/>
      <c r="K120" s="32"/>
      <c r="L120" s="33"/>
      <c r="M120" s="33"/>
      <c r="N120" s="33"/>
      <c r="O120" s="33"/>
      <c r="P120" s="33"/>
      <c r="Q120" s="34"/>
      <c r="R120" s="34"/>
      <c r="S120" s="34"/>
      <c r="T120" s="34"/>
      <c r="U120" s="32"/>
      <c r="V120" s="32"/>
      <c r="W120" s="32"/>
      <c r="X120" s="32"/>
      <c r="Y120" s="33"/>
      <c r="Z120" s="33"/>
      <c r="AA120" s="33"/>
      <c r="AB120" s="33"/>
      <c r="AC120" s="33"/>
      <c r="AD120" s="34"/>
      <c r="AE120" s="34"/>
      <c r="AF120" s="34"/>
      <c r="AG120" s="34"/>
      <c r="AH120" s="34"/>
      <c r="AI120" s="32"/>
      <c r="AJ120" s="32"/>
      <c r="AK120" s="33"/>
      <c r="AL120" s="33"/>
      <c r="AM120" s="33"/>
      <c r="AN120" s="34"/>
      <c r="AO120" s="34"/>
      <c r="AP120" s="34"/>
      <c r="AQ120" s="34"/>
      <c r="AR120" s="32"/>
      <c r="AS120" s="32"/>
      <c r="AT120" s="33"/>
      <c r="AU120" s="33"/>
      <c r="AV120" s="34"/>
      <c r="AW120" s="34"/>
      <c r="AX120" s="34"/>
      <c r="AY120" s="32"/>
      <c r="AZ120" s="32"/>
      <c r="BA120" s="33"/>
      <c r="BB120" s="33"/>
      <c r="BC120" s="34"/>
      <c r="BD120" s="34"/>
    </row>
    <row r="121" spans="1:56" ht="14.4" customHeight="1" thickBot="1" x14ac:dyDescent="0.35">
      <c r="A121" s="43"/>
      <c r="B121" s="50" t="s">
        <v>238</v>
      </c>
      <c r="C121" s="13" t="s">
        <v>239</v>
      </c>
      <c r="D121" s="6" t="s">
        <v>59</v>
      </c>
      <c r="E121" s="6" t="s">
        <v>240</v>
      </c>
      <c r="F121" s="6" t="s">
        <v>61</v>
      </c>
      <c r="G121" s="29">
        <v>46.552920999999998</v>
      </c>
      <c r="H121" s="29">
        <v>46.552920999999998</v>
      </c>
      <c r="I121" s="29">
        <v>46.552920999999998</v>
      </c>
      <c r="J121" s="29">
        <v>46.552920999999998</v>
      </c>
      <c r="K121" s="29">
        <v>46.552920999999998</v>
      </c>
      <c r="L121" s="30">
        <v>46.552920999999998</v>
      </c>
      <c r="M121" s="30">
        <v>46.552920999999998</v>
      </c>
      <c r="N121" s="30">
        <v>46.552920999999998</v>
      </c>
      <c r="O121" s="30">
        <v>46.552920999999998</v>
      </c>
      <c r="P121" s="30">
        <v>46.552900000000001</v>
      </c>
      <c r="Q121" s="31">
        <v>46.552920999999998</v>
      </c>
      <c r="R121" s="31">
        <v>46.552920999999998</v>
      </c>
      <c r="S121" s="31">
        <v>46.552920999999998</v>
      </c>
      <c r="T121" s="31">
        <v>46.552920999999998</v>
      </c>
      <c r="U121" s="29">
        <v>46.552920999999998</v>
      </c>
      <c r="V121" s="29">
        <v>46.552920999999998</v>
      </c>
      <c r="W121" s="29">
        <v>46.552920999999998</v>
      </c>
      <c r="X121" s="29">
        <v>46.552920999999998</v>
      </c>
      <c r="Y121" s="30">
        <v>46.552920999999998</v>
      </c>
      <c r="Z121" s="30">
        <v>46.552920999999998</v>
      </c>
      <c r="AA121" s="30">
        <v>46.552920999999998</v>
      </c>
      <c r="AB121" s="30">
        <v>46.552920999999998</v>
      </c>
      <c r="AC121" s="30">
        <v>46.552920999999998</v>
      </c>
      <c r="AD121" s="31">
        <v>46.552920999999998</v>
      </c>
      <c r="AE121" s="31">
        <v>46.552920999999998</v>
      </c>
      <c r="AF121" s="31">
        <v>46.552920999999998</v>
      </c>
      <c r="AG121" s="31">
        <v>46.552920999999998</v>
      </c>
      <c r="AH121" s="31">
        <v>46.552920999999998</v>
      </c>
      <c r="AI121" s="29">
        <v>46.552920999999998</v>
      </c>
      <c r="AJ121" s="29">
        <v>46.552920999999998</v>
      </c>
      <c r="AK121" s="30">
        <v>46.552920999999998</v>
      </c>
      <c r="AL121" s="30">
        <v>46.552920999999998</v>
      </c>
      <c r="AM121" s="30">
        <v>46.552920999999998</v>
      </c>
      <c r="AN121" s="31">
        <v>46.552920999999998</v>
      </c>
      <c r="AO121" s="31">
        <v>46.552920999999998</v>
      </c>
      <c r="AP121" s="31">
        <v>46.552920999999998</v>
      </c>
      <c r="AQ121" s="31">
        <v>46.552920999999998</v>
      </c>
      <c r="AR121" s="29">
        <v>48.932451999999998</v>
      </c>
      <c r="AS121" s="29">
        <v>48.932451999999998</v>
      </c>
      <c r="AT121" s="30">
        <v>48.932451999999998</v>
      </c>
      <c r="AU121" s="30">
        <v>48.932451999999998</v>
      </c>
      <c r="AV121" s="31">
        <v>48.932451999999998</v>
      </c>
      <c r="AW121" s="31">
        <v>48.932451999999998</v>
      </c>
      <c r="AX121" s="31">
        <v>46.552920999999998</v>
      </c>
      <c r="AY121" s="29">
        <v>55.109986999999997</v>
      </c>
      <c r="AZ121" s="29">
        <v>55.109986999999997</v>
      </c>
      <c r="BA121" s="30">
        <v>55.109986999999997</v>
      </c>
      <c r="BB121" s="30">
        <v>55.109986999999997</v>
      </c>
      <c r="BC121" s="31">
        <v>55.109986999999997</v>
      </c>
      <c r="BD121" s="31">
        <v>55.109986999999997</v>
      </c>
    </row>
    <row r="122" spans="1:56" x14ac:dyDescent="0.3">
      <c r="A122" s="43"/>
      <c r="B122" s="43"/>
      <c r="C122" s="14" t="s">
        <v>239</v>
      </c>
      <c r="D122" s="3" t="s">
        <v>209</v>
      </c>
      <c r="E122" s="3" t="s">
        <v>241</v>
      </c>
      <c r="F122" s="3" t="s">
        <v>242</v>
      </c>
      <c r="G122" s="29">
        <v>11.63823</v>
      </c>
      <c r="H122" s="29">
        <v>11.63823</v>
      </c>
      <c r="I122" s="29">
        <v>11.63823</v>
      </c>
      <c r="J122" s="29">
        <v>11.63823</v>
      </c>
      <c r="K122" s="29">
        <v>11.63823</v>
      </c>
      <c r="L122" s="30">
        <v>11.63823</v>
      </c>
      <c r="M122" s="30">
        <v>11.63823</v>
      </c>
      <c r="N122" s="30">
        <v>11.63823</v>
      </c>
      <c r="O122" s="30">
        <v>11.63823</v>
      </c>
      <c r="P122" s="30">
        <v>11.638199999999999</v>
      </c>
      <c r="Q122" s="31">
        <v>11.63823</v>
      </c>
      <c r="R122" s="31">
        <v>11.63823</v>
      </c>
      <c r="S122" s="31">
        <v>11.63823</v>
      </c>
      <c r="T122" s="31">
        <v>11.63823</v>
      </c>
      <c r="U122" s="29">
        <v>11.63823</v>
      </c>
      <c r="V122" s="29">
        <v>11.63823</v>
      </c>
      <c r="W122" s="29">
        <v>11.63823</v>
      </c>
      <c r="X122" s="29">
        <v>11.63823</v>
      </c>
      <c r="Y122" s="30">
        <v>11.63823</v>
      </c>
      <c r="Z122" s="30">
        <v>11.63823</v>
      </c>
      <c r="AA122" s="30">
        <v>11.63823</v>
      </c>
      <c r="AB122" s="30">
        <v>11.63823</v>
      </c>
      <c r="AC122" s="30">
        <v>11.63823</v>
      </c>
      <c r="AD122" s="31">
        <v>11.63823</v>
      </c>
      <c r="AE122" s="31">
        <v>11.63823</v>
      </c>
      <c r="AF122" s="31">
        <v>11.63823</v>
      </c>
      <c r="AG122" s="31">
        <v>11.63823</v>
      </c>
      <c r="AH122" s="31">
        <v>11.63823</v>
      </c>
      <c r="AI122" s="29">
        <v>11.63823</v>
      </c>
      <c r="AJ122" s="29">
        <v>11.63823</v>
      </c>
      <c r="AK122" s="30">
        <v>11.63823</v>
      </c>
      <c r="AL122" s="30">
        <v>11.63823</v>
      </c>
      <c r="AM122" s="30">
        <v>11.63823</v>
      </c>
      <c r="AN122" s="31">
        <v>11.63823</v>
      </c>
      <c r="AO122" s="31">
        <v>11.63823</v>
      </c>
      <c r="AP122" s="31">
        <v>11.63823</v>
      </c>
      <c r="AQ122" s="31">
        <v>11.63823</v>
      </c>
      <c r="AR122" s="29">
        <v>12.233112999999999</v>
      </c>
      <c r="AS122" s="29">
        <v>12.233112999999999</v>
      </c>
      <c r="AT122" s="30">
        <v>12.233112999999999</v>
      </c>
      <c r="AU122" s="30">
        <v>12.233112999999999</v>
      </c>
      <c r="AV122" s="31">
        <v>12.233112999999999</v>
      </c>
      <c r="AW122" s="31">
        <v>12.233112999999999</v>
      </c>
      <c r="AX122" s="31">
        <v>11.63823</v>
      </c>
      <c r="AY122" s="29">
        <v>13.777497</v>
      </c>
      <c r="AZ122" s="29">
        <v>13.777497</v>
      </c>
      <c r="BA122" s="30">
        <v>13.777497</v>
      </c>
      <c r="BB122" s="30">
        <v>13.777497</v>
      </c>
      <c r="BC122" s="31">
        <v>13.777497</v>
      </c>
      <c r="BD122" s="31">
        <v>13.777497</v>
      </c>
    </row>
    <row r="123" spans="1:56" x14ac:dyDescent="0.3">
      <c r="A123" s="43"/>
      <c r="B123" s="43"/>
      <c r="C123" s="14" t="s">
        <v>239</v>
      </c>
      <c r="D123" s="3" t="s">
        <v>212</v>
      </c>
      <c r="E123" s="3" t="s">
        <v>243</v>
      </c>
      <c r="F123" s="3" t="s">
        <v>244</v>
      </c>
      <c r="G123" s="29">
        <v>2826.9858009999998</v>
      </c>
      <c r="H123" s="29">
        <v>0</v>
      </c>
      <c r="I123" s="29">
        <v>0</v>
      </c>
      <c r="J123" s="29">
        <v>0</v>
      </c>
      <c r="K123" s="29">
        <v>0</v>
      </c>
      <c r="L123" s="30">
        <v>217753.709248</v>
      </c>
      <c r="M123" s="30">
        <v>935.83285799999999</v>
      </c>
      <c r="N123" s="30">
        <v>955.17266900000004</v>
      </c>
      <c r="O123" s="30">
        <v>5280.0175639999998</v>
      </c>
      <c r="P123" s="30">
        <v>5280.0176000000001</v>
      </c>
      <c r="Q123" s="31">
        <v>3027.6735619999999</v>
      </c>
      <c r="R123" s="31">
        <v>0</v>
      </c>
      <c r="S123" s="31">
        <v>0</v>
      </c>
      <c r="T123" s="31">
        <v>0</v>
      </c>
      <c r="U123" s="29">
        <v>4140.595421</v>
      </c>
      <c r="V123" s="29">
        <v>0</v>
      </c>
      <c r="W123" s="29">
        <v>0</v>
      </c>
      <c r="X123" s="29">
        <v>0</v>
      </c>
      <c r="Y123" s="30">
        <v>207227.44305100001</v>
      </c>
      <c r="Z123" s="30">
        <v>0</v>
      </c>
      <c r="AA123" s="30">
        <v>0</v>
      </c>
      <c r="AB123" s="30">
        <v>4754.9379849999996</v>
      </c>
      <c r="AC123" s="30">
        <v>4754.9379849999996</v>
      </c>
      <c r="AD123" s="31">
        <v>4414.095566</v>
      </c>
      <c r="AE123" s="31">
        <v>0</v>
      </c>
      <c r="AF123" s="31">
        <v>0</v>
      </c>
      <c r="AG123" s="31">
        <v>0</v>
      </c>
      <c r="AH123" s="31">
        <v>0</v>
      </c>
      <c r="AI123" s="29">
        <v>4231.6654140000001</v>
      </c>
      <c r="AJ123" s="29">
        <v>31.750098000000001</v>
      </c>
      <c r="AK123" s="30">
        <v>234532.048388</v>
      </c>
      <c r="AL123" s="30">
        <v>5158.8130199999996</v>
      </c>
      <c r="AM123" s="30">
        <v>5012.9971189999997</v>
      </c>
      <c r="AN123" s="31">
        <v>4515.4045340000002</v>
      </c>
      <c r="AO123" s="31">
        <v>0</v>
      </c>
      <c r="AP123" s="31">
        <v>0</v>
      </c>
      <c r="AQ123" s="31">
        <v>0</v>
      </c>
      <c r="AR123" s="29">
        <v>8797.0004779999999</v>
      </c>
      <c r="AS123" s="29">
        <v>0</v>
      </c>
      <c r="AT123" s="30">
        <v>260437.61485400001</v>
      </c>
      <c r="AU123" s="30">
        <v>0</v>
      </c>
      <c r="AV123" s="31">
        <v>9891.3592370000006</v>
      </c>
      <c r="AW123" s="31">
        <v>0</v>
      </c>
      <c r="AX123" s="31">
        <v>7555.5415279999997</v>
      </c>
      <c r="AY123" s="29">
        <v>6281.9605929999998</v>
      </c>
      <c r="AZ123" s="29">
        <v>0</v>
      </c>
      <c r="BA123" s="30">
        <v>141102.652883</v>
      </c>
      <c r="BB123" s="30">
        <v>0</v>
      </c>
      <c r="BC123" s="31">
        <v>6750.6377279999997</v>
      </c>
      <c r="BD123" s="31">
        <v>0</v>
      </c>
    </row>
    <row r="124" spans="1:56" x14ac:dyDescent="0.3">
      <c r="A124" s="43"/>
      <c r="B124" s="43"/>
      <c r="C124" s="14" t="s">
        <v>239</v>
      </c>
      <c r="D124" s="3" t="s">
        <v>62</v>
      </c>
      <c r="E124" s="3" t="s">
        <v>245</v>
      </c>
      <c r="F124" s="3" t="s">
        <v>64</v>
      </c>
      <c r="G124" s="29">
        <v>706.74644999999998</v>
      </c>
      <c r="H124" s="29">
        <v>0</v>
      </c>
      <c r="I124" s="29">
        <v>0</v>
      </c>
      <c r="J124" s="29">
        <v>0</v>
      </c>
      <c r="K124" s="29">
        <v>0</v>
      </c>
      <c r="L124" s="30">
        <v>54438.427312</v>
      </c>
      <c r="M124" s="30">
        <v>233.958214</v>
      </c>
      <c r="N124" s="30">
        <v>238.79316700000001</v>
      </c>
      <c r="O124" s="30">
        <v>1320.0043909999999</v>
      </c>
      <c r="P124" s="30">
        <v>1320.0044</v>
      </c>
      <c r="Q124" s="31">
        <v>756.91839100000004</v>
      </c>
      <c r="R124" s="31">
        <v>0</v>
      </c>
      <c r="S124" s="31">
        <v>0</v>
      </c>
      <c r="T124" s="31">
        <v>0</v>
      </c>
      <c r="U124" s="29">
        <v>1035.1488549999999</v>
      </c>
      <c r="V124" s="29">
        <v>0</v>
      </c>
      <c r="W124" s="29">
        <v>0</v>
      </c>
      <c r="X124" s="29">
        <v>0</v>
      </c>
      <c r="Y124" s="30">
        <v>51806.860762999997</v>
      </c>
      <c r="Z124" s="30">
        <v>0</v>
      </c>
      <c r="AA124" s="30">
        <v>0</v>
      </c>
      <c r="AB124" s="30">
        <v>1188.734496</v>
      </c>
      <c r="AC124" s="30">
        <v>1188.734496</v>
      </c>
      <c r="AD124" s="31">
        <v>1103.523891</v>
      </c>
      <c r="AE124" s="31">
        <v>0</v>
      </c>
      <c r="AF124" s="31">
        <v>0</v>
      </c>
      <c r="AG124" s="31">
        <v>0</v>
      </c>
      <c r="AH124" s="31">
        <v>0</v>
      </c>
      <c r="AI124" s="29">
        <v>1057.9163530000001</v>
      </c>
      <c r="AJ124" s="29">
        <v>7.9375249999999999</v>
      </c>
      <c r="AK124" s="30">
        <v>58633.012096999999</v>
      </c>
      <c r="AL124" s="30">
        <v>1289.7032549999999</v>
      </c>
      <c r="AM124" s="30">
        <v>1253.24928</v>
      </c>
      <c r="AN124" s="31">
        <v>1128.851134</v>
      </c>
      <c r="AO124" s="31">
        <v>0</v>
      </c>
      <c r="AP124" s="31">
        <v>0</v>
      </c>
      <c r="AQ124" s="31">
        <v>0</v>
      </c>
      <c r="AR124" s="29">
        <v>2199.2501200000002</v>
      </c>
      <c r="AS124" s="29">
        <v>0</v>
      </c>
      <c r="AT124" s="30">
        <v>65109.403714</v>
      </c>
      <c r="AU124" s="30">
        <v>0</v>
      </c>
      <c r="AV124" s="31">
        <v>2472.8398090000001</v>
      </c>
      <c r="AW124" s="31">
        <v>0</v>
      </c>
      <c r="AX124" s="31">
        <v>1888.8853819999999</v>
      </c>
      <c r="AY124" s="29">
        <v>1570.4901480000001</v>
      </c>
      <c r="AZ124" s="29">
        <v>0</v>
      </c>
      <c r="BA124" s="30">
        <v>35275.663221000003</v>
      </c>
      <c r="BB124" s="30">
        <v>0</v>
      </c>
      <c r="BC124" s="31">
        <v>1687.6594319999999</v>
      </c>
      <c r="BD124" s="31">
        <v>0</v>
      </c>
    </row>
    <row r="125" spans="1:56" x14ac:dyDescent="0.3">
      <c r="A125" s="43"/>
      <c r="B125" s="43"/>
      <c r="C125" s="14" t="s">
        <v>239</v>
      </c>
      <c r="D125" s="3" t="s">
        <v>246</v>
      </c>
      <c r="E125" s="3" t="s">
        <v>247</v>
      </c>
      <c r="F125" s="3" t="s">
        <v>67</v>
      </c>
      <c r="G125" s="29">
        <v>1312.9142509999999</v>
      </c>
      <c r="H125" s="29">
        <v>0</v>
      </c>
      <c r="I125" s="29">
        <v>0</v>
      </c>
      <c r="J125" s="29">
        <v>0</v>
      </c>
      <c r="K125" s="29">
        <v>0</v>
      </c>
      <c r="L125" s="30">
        <v>41045.097978999998</v>
      </c>
      <c r="M125" s="30">
        <v>317.25094999999999</v>
      </c>
      <c r="N125" s="30">
        <v>342.40572700000001</v>
      </c>
      <c r="O125" s="30">
        <v>2056.428856</v>
      </c>
      <c r="P125" s="30">
        <v>1739.5884000000001</v>
      </c>
      <c r="Q125" s="31">
        <v>1036.240865</v>
      </c>
      <c r="R125" s="31">
        <v>0</v>
      </c>
      <c r="S125" s="31">
        <v>0</v>
      </c>
      <c r="T125" s="31">
        <v>0</v>
      </c>
      <c r="U125" s="29">
        <v>1243.6710459999999</v>
      </c>
      <c r="V125" s="29">
        <v>0</v>
      </c>
      <c r="W125" s="29">
        <v>0</v>
      </c>
      <c r="X125" s="29">
        <v>0</v>
      </c>
      <c r="Y125" s="30">
        <v>50870.677853000001</v>
      </c>
      <c r="Z125" s="30">
        <v>0</v>
      </c>
      <c r="AA125" s="30">
        <v>0</v>
      </c>
      <c r="AB125" s="30">
        <v>2447.9555019999998</v>
      </c>
      <c r="AC125" s="30">
        <v>1999.1151420000001</v>
      </c>
      <c r="AD125" s="31">
        <v>1567.2986060000001</v>
      </c>
      <c r="AE125" s="31">
        <v>0</v>
      </c>
      <c r="AF125" s="31">
        <v>0</v>
      </c>
      <c r="AG125" s="31">
        <v>0</v>
      </c>
      <c r="AH125" s="31">
        <v>0</v>
      </c>
      <c r="AI125" s="29">
        <v>1326.4805670000001</v>
      </c>
      <c r="AJ125" s="29">
        <v>12.308021999999999</v>
      </c>
      <c r="AK125" s="30">
        <v>39900.252759000003</v>
      </c>
      <c r="AL125" s="30">
        <v>1753.499802</v>
      </c>
      <c r="AM125" s="30">
        <v>1656.727161</v>
      </c>
      <c r="AN125" s="31">
        <v>1969.4378079999999</v>
      </c>
      <c r="AO125" s="31">
        <v>0</v>
      </c>
      <c r="AP125" s="31">
        <v>0</v>
      </c>
      <c r="AQ125" s="31">
        <v>0</v>
      </c>
      <c r="AR125" s="29">
        <v>1454.588884</v>
      </c>
      <c r="AS125" s="29">
        <v>0</v>
      </c>
      <c r="AT125" s="30">
        <v>24490.412423999998</v>
      </c>
      <c r="AU125" s="30">
        <v>0</v>
      </c>
      <c r="AV125" s="31">
        <v>1648.068164</v>
      </c>
      <c r="AW125" s="31">
        <v>0</v>
      </c>
      <c r="AX125" s="31">
        <v>1303.8998549999999</v>
      </c>
      <c r="AY125" s="29">
        <v>1329.9710749999999</v>
      </c>
      <c r="AZ125" s="29">
        <v>0</v>
      </c>
      <c r="BA125" s="30">
        <v>32841.815675999998</v>
      </c>
      <c r="BB125" s="30">
        <v>0</v>
      </c>
      <c r="BC125" s="31">
        <v>1948.699372</v>
      </c>
      <c r="BD125" s="31">
        <v>0</v>
      </c>
    </row>
    <row r="126" spans="1:56" x14ac:dyDescent="0.3">
      <c r="A126" s="43"/>
      <c r="B126" s="43"/>
      <c r="C126" s="14" t="s">
        <v>239</v>
      </c>
      <c r="D126" s="3" t="s">
        <v>248</v>
      </c>
      <c r="E126" s="3" t="s">
        <v>249</v>
      </c>
      <c r="F126" s="3" t="s">
        <v>67</v>
      </c>
      <c r="G126" s="29">
        <v>1502.4354659999999</v>
      </c>
      <c r="H126" s="29">
        <v>0</v>
      </c>
      <c r="I126" s="29">
        <v>0</v>
      </c>
      <c r="J126" s="29">
        <v>0</v>
      </c>
      <c r="K126" s="29">
        <v>0</v>
      </c>
      <c r="L126" s="30">
        <v>47007.648350000003</v>
      </c>
      <c r="M126" s="30">
        <v>363.06944299999998</v>
      </c>
      <c r="N126" s="30">
        <v>391.84353800000002</v>
      </c>
      <c r="O126" s="30">
        <v>2353.3344929999998</v>
      </c>
      <c r="P126" s="30">
        <v>1990.9006999999999</v>
      </c>
      <c r="Q126" s="31">
        <v>1186.009423</v>
      </c>
      <c r="R126" s="31">
        <v>0</v>
      </c>
      <c r="S126" s="31">
        <v>0</v>
      </c>
      <c r="T126" s="31">
        <v>0</v>
      </c>
      <c r="U126" s="29">
        <v>1423.506852</v>
      </c>
      <c r="V126" s="29">
        <v>0</v>
      </c>
      <c r="W126" s="29">
        <v>0</v>
      </c>
      <c r="X126" s="29">
        <v>0</v>
      </c>
      <c r="Y126" s="30">
        <v>58241.905960999997</v>
      </c>
      <c r="Z126" s="30">
        <v>0</v>
      </c>
      <c r="AA126" s="30">
        <v>0</v>
      </c>
      <c r="AB126" s="30">
        <v>2801.1387869999999</v>
      </c>
      <c r="AC126" s="30">
        <v>2287.6679840000002</v>
      </c>
      <c r="AD126" s="31">
        <v>1793.8530780000001</v>
      </c>
      <c r="AE126" s="31">
        <v>0</v>
      </c>
      <c r="AF126" s="31">
        <v>0</v>
      </c>
      <c r="AG126" s="31">
        <v>0</v>
      </c>
      <c r="AH126" s="31">
        <v>0</v>
      </c>
      <c r="AI126" s="29">
        <v>1518.23516</v>
      </c>
      <c r="AJ126" s="29">
        <v>14.084307000000001</v>
      </c>
      <c r="AK126" s="30">
        <v>45699.786986999999</v>
      </c>
      <c r="AL126" s="30">
        <v>2006.7201749999999</v>
      </c>
      <c r="AM126" s="30">
        <v>1895.990769</v>
      </c>
      <c r="AN126" s="31">
        <v>2253.8685829999999</v>
      </c>
      <c r="AO126" s="31">
        <v>0</v>
      </c>
      <c r="AP126" s="31">
        <v>0</v>
      </c>
      <c r="AQ126" s="31">
        <v>0</v>
      </c>
      <c r="AR126" s="29">
        <v>1665.9463029999999</v>
      </c>
      <c r="AS126" s="29">
        <v>0</v>
      </c>
      <c r="AT126" s="30">
        <v>28055.103419999999</v>
      </c>
      <c r="AU126" s="30">
        <v>0</v>
      </c>
      <c r="AV126" s="31">
        <v>1888.2136129999999</v>
      </c>
      <c r="AW126" s="31">
        <v>0</v>
      </c>
      <c r="AX126" s="31">
        <v>1493.863257</v>
      </c>
      <c r="AY126" s="29">
        <v>1521.9579349999999</v>
      </c>
      <c r="AZ126" s="29">
        <v>0</v>
      </c>
      <c r="BA126" s="30">
        <v>37596.169109000002</v>
      </c>
      <c r="BB126" s="30">
        <v>0</v>
      </c>
      <c r="BC126" s="31">
        <v>2229.8587579999999</v>
      </c>
      <c r="BD126" s="31">
        <v>0</v>
      </c>
    </row>
    <row r="127" spans="1:56" x14ac:dyDescent="0.3">
      <c r="A127" s="43"/>
      <c r="B127" s="43"/>
      <c r="C127" s="14" t="s">
        <v>239</v>
      </c>
      <c r="D127" s="3" t="s">
        <v>71</v>
      </c>
      <c r="E127" s="3" t="s">
        <v>250</v>
      </c>
      <c r="F127" s="3" t="s">
        <v>73</v>
      </c>
      <c r="G127" s="29">
        <v>599320.989756</v>
      </c>
      <c r="H127" s="29">
        <v>0</v>
      </c>
      <c r="I127" s="29">
        <v>0</v>
      </c>
      <c r="J127" s="29">
        <v>0</v>
      </c>
      <c r="K127" s="29">
        <v>0</v>
      </c>
      <c r="L127" s="30">
        <v>46163786.360542998</v>
      </c>
      <c r="M127" s="30">
        <v>198396.56585899999</v>
      </c>
      <c r="N127" s="30">
        <v>202496.605855</v>
      </c>
      <c r="O127" s="30">
        <v>1119363.7235310001</v>
      </c>
      <c r="P127" s="30">
        <v>1119363.7235000001</v>
      </c>
      <c r="Q127" s="31">
        <v>641866.79517199995</v>
      </c>
      <c r="R127" s="31">
        <v>0</v>
      </c>
      <c r="S127" s="31">
        <v>0</v>
      </c>
      <c r="T127" s="31">
        <v>0</v>
      </c>
      <c r="U127" s="29">
        <v>877806.22920900001</v>
      </c>
      <c r="V127" s="29">
        <v>0</v>
      </c>
      <c r="W127" s="29">
        <v>0</v>
      </c>
      <c r="X127" s="29">
        <v>0</v>
      </c>
      <c r="Y127" s="30">
        <v>43932217.926844999</v>
      </c>
      <c r="Z127" s="30">
        <v>0</v>
      </c>
      <c r="AA127" s="30">
        <v>0</v>
      </c>
      <c r="AB127" s="30">
        <v>1008046.852734</v>
      </c>
      <c r="AC127" s="30">
        <v>1008046.852734</v>
      </c>
      <c r="AD127" s="31">
        <v>935788.25998700003</v>
      </c>
      <c r="AE127" s="31">
        <v>0</v>
      </c>
      <c r="AF127" s="31">
        <v>0</v>
      </c>
      <c r="AG127" s="31">
        <v>0</v>
      </c>
      <c r="AH127" s="31">
        <v>0</v>
      </c>
      <c r="AI127" s="29">
        <v>897113.06772799999</v>
      </c>
      <c r="AJ127" s="29">
        <v>6731.0208149999999</v>
      </c>
      <c r="AK127" s="30">
        <v>49720794.258340999</v>
      </c>
      <c r="AL127" s="30">
        <v>1093668.3601480001</v>
      </c>
      <c r="AM127" s="30">
        <v>1062755.389132</v>
      </c>
      <c r="AN127" s="31">
        <v>957265.76128800004</v>
      </c>
      <c r="AO127" s="31">
        <v>0</v>
      </c>
      <c r="AP127" s="31">
        <v>0</v>
      </c>
      <c r="AQ127" s="31">
        <v>0</v>
      </c>
      <c r="AR127" s="29">
        <v>1864964.1013760001</v>
      </c>
      <c r="AS127" s="29">
        <v>0</v>
      </c>
      <c r="AT127" s="30">
        <v>55212774.349087</v>
      </c>
      <c r="AU127" s="30">
        <v>0</v>
      </c>
      <c r="AV127" s="31">
        <v>2096968.1582210001</v>
      </c>
      <c r="AW127" s="31">
        <v>0</v>
      </c>
      <c r="AX127" s="31">
        <v>1601774.803874</v>
      </c>
      <c r="AY127" s="29">
        <v>1331775.6457509999</v>
      </c>
      <c r="AZ127" s="29">
        <v>0</v>
      </c>
      <c r="BA127" s="30">
        <v>29913762.411091998</v>
      </c>
      <c r="BB127" s="30">
        <v>0</v>
      </c>
      <c r="BC127" s="31">
        <v>1431135.1983930001</v>
      </c>
      <c r="BD127" s="31">
        <v>0</v>
      </c>
    </row>
    <row r="128" spans="1:56" x14ac:dyDescent="0.3">
      <c r="A128" s="43"/>
      <c r="B128" s="43"/>
      <c r="C128" s="14" t="s">
        <v>239</v>
      </c>
      <c r="D128" s="3" t="s">
        <v>74</v>
      </c>
      <c r="E128" s="3" t="s">
        <v>251</v>
      </c>
      <c r="F128" s="3" t="s">
        <v>76</v>
      </c>
      <c r="G128" s="29">
        <v>7491.5123720000001</v>
      </c>
      <c r="H128" s="29">
        <v>0</v>
      </c>
      <c r="I128" s="29">
        <v>0</v>
      </c>
      <c r="J128" s="29">
        <v>0</v>
      </c>
      <c r="K128" s="29">
        <v>0</v>
      </c>
      <c r="L128" s="30">
        <v>577047.32950700005</v>
      </c>
      <c r="M128" s="30">
        <v>2479.957073</v>
      </c>
      <c r="N128" s="30">
        <v>2531.2075730000001</v>
      </c>
      <c r="O128" s="30">
        <v>13992.046544000001</v>
      </c>
      <c r="P128" s="30">
        <v>13992.0465</v>
      </c>
      <c r="Q128" s="31">
        <v>8023.3349399999997</v>
      </c>
      <c r="R128" s="31">
        <v>0</v>
      </c>
      <c r="S128" s="31">
        <v>0</v>
      </c>
      <c r="T128" s="31">
        <v>0</v>
      </c>
      <c r="U128" s="29">
        <v>10972.577864999999</v>
      </c>
      <c r="V128" s="29">
        <v>0</v>
      </c>
      <c r="W128" s="29">
        <v>0</v>
      </c>
      <c r="X128" s="29">
        <v>0</v>
      </c>
      <c r="Y128" s="30">
        <v>549152.724086</v>
      </c>
      <c r="Z128" s="30">
        <v>0</v>
      </c>
      <c r="AA128" s="30">
        <v>0</v>
      </c>
      <c r="AB128" s="30">
        <v>12600.585659</v>
      </c>
      <c r="AC128" s="30">
        <v>12600.585659</v>
      </c>
      <c r="AD128" s="31">
        <v>11697.35325</v>
      </c>
      <c r="AE128" s="31">
        <v>0</v>
      </c>
      <c r="AF128" s="31">
        <v>0</v>
      </c>
      <c r="AG128" s="31">
        <v>0</v>
      </c>
      <c r="AH128" s="31">
        <v>0</v>
      </c>
      <c r="AI128" s="29">
        <v>11213.913347</v>
      </c>
      <c r="AJ128" s="29">
        <v>84.13776</v>
      </c>
      <c r="AK128" s="30">
        <v>621509.92822899995</v>
      </c>
      <c r="AL128" s="30">
        <v>13670.854502</v>
      </c>
      <c r="AM128" s="30">
        <v>13284.442364</v>
      </c>
      <c r="AN128" s="31">
        <v>11965.822016</v>
      </c>
      <c r="AO128" s="31">
        <v>0</v>
      </c>
      <c r="AP128" s="31">
        <v>0</v>
      </c>
      <c r="AQ128" s="31">
        <v>0</v>
      </c>
      <c r="AR128" s="29">
        <v>23312.051266999999</v>
      </c>
      <c r="AS128" s="29">
        <v>0</v>
      </c>
      <c r="AT128" s="30">
        <v>690159.67936399998</v>
      </c>
      <c r="AU128" s="30">
        <v>0</v>
      </c>
      <c r="AV128" s="31">
        <v>26212.101977999999</v>
      </c>
      <c r="AW128" s="31">
        <v>0</v>
      </c>
      <c r="AX128" s="31">
        <v>20022.185047999999</v>
      </c>
      <c r="AY128" s="29">
        <v>16647.195572000001</v>
      </c>
      <c r="AZ128" s="29">
        <v>0</v>
      </c>
      <c r="BA128" s="30">
        <v>373922.03013899998</v>
      </c>
      <c r="BB128" s="30">
        <v>0</v>
      </c>
      <c r="BC128" s="31">
        <v>17889.189979999999</v>
      </c>
      <c r="BD128" s="31">
        <v>0</v>
      </c>
    </row>
    <row r="129" spans="1:56" x14ac:dyDescent="0.3">
      <c r="A129" s="43"/>
      <c r="B129" s="43"/>
      <c r="C129" s="14" t="s">
        <v>239</v>
      </c>
      <c r="D129" s="3" t="s">
        <v>77</v>
      </c>
      <c r="E129" s="3" t="s">
        <v>252</v>
      </c>
      <c r="F129" s="3" t="s">
        <v>76</v>
      </c>
      <c r="G129" s="29">
        <v>65802.223146000004</v>
      </c>
      <c r="H129" s="29">
        <v>0</v>
      </c>
      <c r="I129" s="29">
        <v>0</v>
      </c>
      <c r="J129" s="29">
        <v>0</v>
      </c>
      <c r="K129" s="29">
        <v>0</v>
      </c>
      <c r="L129" s="30">
        <v>5068535.5982330004</v>
      </c>
      <c r="M129" s="30">
        <v>21782.876489999999</v>
      </c>
      <c r="N129" s="30">
        <v>22233.038842999998</v>
      </c>
      <c r="O129" s="30">
        <v>122900.11992899999</v>
      </c>
      <c r="P129" s="30">
        <v>122900.11990000001</v>
      </c>
      <c r="Q129" s="31">
        <v>70473.523883999995</v>
      </c>
      <c r="R129" s="31">
        <v>0</v>
      </c>
      <c r="S129" s="31">
        <v>0</v>
      </c>
      <c r="T129" s="31">
        <v>0</v>
      </c>
      <c r="U129" s="29">
        <v>96378.405496000007</v>
      </c>
      <c r="V129" s="29">
        <v>0</v>
      </c>
      <c r="W129" s="29">
        <v>0</v>
      </c>
      <c r="X129" s="29">
        <v>0</v>
      </c>
      <c r="Y129" s="30">
        <v>4823521.3795609996</v>
      </c>
      <c r="Z129" s="30">
        <v>0</v>
      </c>
      <c r="AA129" s="30">
        <v>0</v>
      </c>
      <c r="AB129" s="30">
        <v>110678.125877</v>
      </c>
      <c r="AC129" s="30">
        <v>110678.125877</v>
      </c>
      <c r="AD129" s="31">
        <v>102744.52080499999</v>
      </c>
      <c r="AE129" s="31">
        <v>0</v>
      </c>
      <c r="AF129" s="31">
        <v>0</v>
      </c>
      <c r="AG129" s="31">
        <v>0</v>
      </c>
      <c r="AH129" s="31">
        <v>0</v>
      </c>
      <c r="AI129" s="29">
        <v>98498.192586000005</v>
      </c>
      <c r="AJ129" s="29">
        <v>739.02990399999999</v>
      </c>
      <c r="AK129" s="30">
        <v>5459075.9454309996</v>
      </c>
      <c r="AL129" s="30">
        <v>120078.90715</v>
      </c>
      <c r="AM129" s="30">
        <v>116684.829099</v>
      </c>
      <c r="AN129" s="31">
        <v>105102.63499999999</v>
      </c>
      <c r="AO129" s="31">
        <v>0</v>
      </c>
      <c r="AP129" s="31">
        <v>0</v>
      </c>
      <c r="AQ129" s="31">
        <v>0</v>
      </c>
      <c r="AR129" s="29">
        <v>215229.40326399999</v>
      </c>
      <c r="AS129" s="29">
        <v>0</v>
      </c>
      <c r="AT129" s="30">
        <v>6371925.5866400003</v>
      </c>
      <c r="AU129" s="30">
        <v>0</v>
      </c>
      <c r="AV129" s="31">
        <v>242004.23215900001</v>
      </c>
      <c r="AW129" s="31">
        <v>0</v>
      </c>
      <c r="AX129" s="31">
        <v>175866.263447</v>
      </c>
      <c r="AY129" s="29">
        <v>173099.382495</v>
      </c>
      <c r="AZ129" s="29">
        <v>0</v>
      </c>
      <c r="BA129" s="30">
        <v>3888082.6646509999</v>
      </c>
      <c r="BB129" s="30">
        <v>0</v>
      </c>
      <c r="BC129" s="31">
        <v>186013.777845</v>
      </c>
      <c r="BD129" s="31">
        <v>0</v>
      </c>
    </row>
    <row r="130" spans="1:56" x14ac:dyDescent="0.3">
      <c r="A130" s="43"/>
      <c r="B130" s="43"/>
      <c r="C130" s="14" t="s">
        <v>239</v>
      </c>
      <c r="D130" s="3" t="s">
        <v>79</v>
      </c>
      <c r="E130" s="3" t="s">
        <v>253</v>
      </c>
      <c r="F130" s="3" t="s">
        <v>73</v>
      </c>
      <c r="G130" s="29">
        <v>987033.34718499996</v>
      </c>
      <c r="H130" s="29">
        <v>0</v>
      </c>
      <c r="I130" s="29">
        <v>0</v>
      </c>
      <c r="J130" s="29">
        <v>0</v>
      </c>
      <c r="K130" s="29">
        <v>0</v>
      </c>
      <c r="L130" s="30">
        <v>76028033.973498002</v>
      </c>
      <c r="M130" s="30">
        <v>326743.14735599997</v>
      </c>
      <c r="N130" s="30">
        <v>333495.58264699997</v>
      </c>
      <c r="O130" s="30">
        <v>1843501.7989350001</v>
      </c>
      <c r="P130" s="30">
        <v>1843501.7989000001</v>
      </c>
      <c r="Q130" s="31">
        <v>1057102.8582580001</v>
      </c>
      <c r="R130" s="31">
        <v>0</v>
      </c>
      <c r="S130" s="31">
        <v>0</v>
      </c>
      <c r="T130" s="31">
        <v>0</v>
      </c>
      <c r="U130" s="29">
        <v>1445676.0824430001</v>
      </c>
      <c r="V130" s="29">
        <v>0</v>
      </c>
      <c r="W130" s="29">
        <v>0</v>
      </c>
      <c r="X130" s="29">
        <v>0</v>
      </c>
      <c r="Y130" s="30">
        <v>72352820.693412006</v>
      </c>
      <c r="Z130" s="30">
        <v>0</v>
      </c>
      <c r="AA130" s="30">
        <v>0</v>
      </c>
      <c r="AB130" s="30">
        <v>1660171.8881550001</v>
      </c>
      <c r="AC130" s="30">
        <v>1660171.8881550001</v>
      </c>
      <c r="AD130" s="31">
        <v>1541167.812073</v>
      </c>
      <c r="AE130" s="31">
        <v>0</v>
      </c>
      <c r="AF130" s="31">
        <v>0</v>
      </c>
      <c r="AG130" s="31">
        <v>0</v>
      </c>
      <c r="AH130" s="31">
        <v>0</v>
      </c>
      <c r="AI130" s="29">
        <v>1477472.888784</v>
      </c>
      <c r="AJ130" s="29">
        <v>11085.448563</v>
      </c>
      <c r="AK130" s="30">
        <v>81886139.181457996</v>
      </c>
      <c r="AL130" s="30">
        <v>1801183.6072480001</v>
      </c>
      <c r="AM130" s="30">
        <v>1750272.4364809999</v>
      </c>
      <c r="AN130" s="31">
        <v>1576539.5249960001</v>
      </c>
      <c r="AO130" s="31">
        <v>0</v>
      </c>
      <c r="AP130" s="31">
        <v>0</v>
      </c>
      <c r="AQ130" s="31">
        <v>0</v>
      </c>
      <c r="AR130" s="29">
        <v>3228441.0489650001</v>
      </c>
      <c r="AS130" s="29">
        <v>0</v>
      </c>
      <c r="AT130" s="30">
        <v>95578883.799596995</v>
      </c>
      <c r="AU130" s="30">
        <v>0</v>
      </c>
      <c r="AV130" s="31">
        <v>3630063.48239</v>
      </c>
      <c r="AW130" s="31">
        <v>0</v>
      </c>
      <c r="AX130" s="31">
        <v>2637993.9517029999</v>
      </c>
      <c r="AY130" s="29">
        <v>2596490.7374180001</v>
      </c>
      <c r="AZ130" s="29">
        <v>0</v>
      </c>
      <c r="BA130" s="30">
        <v>58321239.969765</v>
      </c>
      <c r="BB130" s="30">
        <v>0</v>
      </c>
      <c r="BC130" s="31">
        <v>2790206.6676750001</v>
      </c>
      <c r="BD130" s="31">
        <v>0</v>
      </c>
    </row>
    <row r="131" spans="1:56" x14ac:dyDescent="0.3">
      <c r="A131" s="43"/>
      <c r="B131" s="43"/>
      <c r="C131" s="14" t="s">
        <v>239</v>
      </c>
      <c r="D131" s="3" t="s">
        <v>81</v>
      </c>
      <c r="E131" s="3" t="s">
        <v>254</v>
      </c>
      <c r="F131" s="3" t="s">
        <v>76</v>
      </c>
      <c r="G131" s="29">
        <v>73293.735518000001</v>
      </c>
      <c r="H131" s="29">
        <v>0</v>
      </c>
      <c r="I131" s="29">
        <v>0</v>
      </c>
      <c r="J131" s="29">
        <v>0</v>
      </c>
      <c r="K131" s="29">
        <v>0</v>
      </c>
      <c r="L131" s="30">
        <v>5645582.9277400002</v>
      </c>
      <c r="M131" s="30">
        <v>24262.833564</v>
      </c>
      <c r="N131" s="30">
        <v>24764.246416000002</v>
      </c>
      <c r="O131" s="30">
        <v>136892.16647299999</v>
      </c>
      <c r="P131" s="30">
        <v>136892.16649999999</v>
      </c>
      <c r="Q131" s="31">
        <v>78496.858823999995</v>
      </c>
      <c r="R131" s="31">
        <v>0</v>
      </c>
      <c r="S131" s="31">
        <v>0</v>
      </c>
      <c r="T131" s="31">
        <v>0</v>
      </c>
      <c r="U131" s="29">
        <v>107350.98336100001</v>
      </c>
      <c r="V131" s="29">
        <v>0</v>
      </c>
      <c r="W131" s="29">
        <v>0</v>
      </c>
      <c r="X131" s="29">
        <v>0</v>
      </c>
      <c r="Y131" s="30">
        <v>5372674.1036459999</v>
      </c>
      <c r="Z131" s="30">
        <v>0</v>
      </c>
      <c r="AA131" s="30">
        <v>0</v>
      </c>
      <c r="AB131" s="30">
        <v>123278.711536</v>
      </c>
      <c r="AC131" s="30">
        <v>123278.711536</v>
      </c>
      <c r="AD131" s="31">
        <v>114441.87405499999</v>
      </c>
      <c r="AE131" s="31">
        <v>0</v>
      </c>
      <c r="AF131" s="31">
        <v>0</v>
      </c>
      <c r="AG131" s="31">
        <v>0</v>
      </c>
      <c r="AH131" s="31">
        <v>0</v>
      </c>
      <c r="AI131" s="29">
        <v>109712.10593200001</v>
      </c>
      <c r="AJ131" s="29">
        <v>823.16766399999995</v>
      </c>
      <c r="AK131" s="30">
        <v>6080585.87366</v>
      </c>
      <c r="AL131" s="30">
        <v>133749.76165199999</v>
      </c>
      <c r="AM131" s="30">
        <v>129969.271463</v>
      </c>
      <c r="AN131" s="31">
        <v>117068.457016</v>
      </c>
      <c r="AO131" s="31">
        <v>0</v>
      </c>
      <c r="AP131" s="31">
        <v>0</v>
      </c>
      <c r="AQ131" s="31">
        <v>0</v>
      </c>
      <c r="AR131" s="29">
        <v>238541.454532</v>
      </c>
      <c r="AS131" s="29">
        <v>0</v>
      </c>
      <c r="AT131" s="30">
        <v>7062085.2660029996</v>
      </c>
      <c r="AU131" s="30">
        <v>0</v>
      </c>
      <c r="AV131" s="31">
        <v>268216.33413700003</v>
      </c>
      <c r="AW131" s="31">
        <v>0</v>
      </c>
      <c r="AX131" s="31">
        <v>195888.44849499999</v>
      </c>
      <c r="AY131" s="29">
        <v>189746.57806599999</v>
      </c>
      <c r="AZ131" s="29">
        <v>0</v>
      </c>
      <c r="BA131" s="30">
        <v>4262004.6947900001</v>
      </c>
      <c r="BB131" s="30">
        <v>0</v>
      </c>
      <c r="BC131" s="31">
        <v>203902.967825</v>
      </c>
      <c r="BD131" s="31">
        <v>0</v>
      </c>
    </row>
    <row r="132" spans="1:56" ht="15" customHeight="1" thickBot="1" x14ac:dyDescent="0.35">
      <c r="A132" s="48"/>
      <c r="B132" s="48"/>
      <c r="C132" s="17"/>
      <c r="D132" s="8"/>
      <c r="E132" s="8"/>
      <c r="F132" s="8"/>
      <c r="G132" s="32"/>
      <c r="H132" s="32"/>
      <c r="I132" s="32"/>
      <c r="J132" s="32"/>
      <c r="K132" s="32"/>
      <c r="L132" s="33"/>
      <c r="M132" s="33"/>
      <c r="N132" s="33"/>
      <c r="O132" s="33"/>
      <c r="P132" s="33"/>
      <c r="Q132" s="34"/>
      <c r="R132" s="34"/>
      <c r="S132" s="34"/>
      <c r="T132" s="34"/>
      <c r="U132" s="32"/>
      <c r="V132" s="32"/>
      <c r="W132" s="32"/>
      <c r="X132" s="32"/>
      <c r="Y132" s="33"/>
      <c r="Z132" s="33"/>
      <c r="AA132" s="33"/>
      <c r="AB132" s="33"/>
      <c r="AC132" s="33"/>
      <c r="AD132" s="34"/>
      <c r="AE132" s="34"/>
      <c r="AF132" s="34"/>
      <c r="AG132" s="34"/>
      <c r="AH132" s="34"/>
      <c r="AI132" s="32"/>
      <c r="AJ132" s="32"/>
      <c r="AK132" s="33"/>
      <c r="AL132" s="33"/>
      <c r="AM132" s="33"/>
      <c r="AN132" s="34"/>
      <c r="AO132" s="34"/>
      <c r="AP132" s="34"/>
      <c r="AQ132" s="34"/>
      <c r="AR132" s="32"/>
      <c r="AS132" s="32"/>
      <c r="AT132" s="33"/>
      <c r="AU132" s="33"/>
      <c r="AV132" s="34"/>
      <c r="AW132" s="34"/>
      <c r="AX132" s="34"/>
      <c r="AY132" s="32"/>
      <c r="AZ132" s="32"/>
      <c r="BA132" s="33"/>
      <c r="BB132" s="33"/>
      <c r="BC132" s="34"/>
      <c r="BD132" s="34"/>
    </row>
    <row r="133" spans="1:56" ht="15" thickBot="1" x14ac:dyDescent="0.35">
      <c r="A133" s="47" t="s">
        <v>255</v>
      </c>
      <c r="B133" s="45" t="s">
        <v>256</v>
      </c>
      <c r="C133" s="9" t="s">
        <v>257</v>
      </c>
      <c r="D133" s="4" t="s">
        <v>258</v>
      </c>
      <c r="E133" s="4" t="s">
        <v>259</v>
      </c>
      <c r="F133" s="4" t="s">
        <v>67</v>
      </c>
      <c r="G133" s="29">
        <v>0</v>
      </c>
      <c r="H133" s="29">
        <v>2468.8428640000002</v>
      </c>
      <c r="I133" s="29">
        <v>129.911216</v>
      </c>
      <c r="J133" s="29">
        <v>129.911216</v>
      </c>
      <c r="K133" s="29">
        <v>129.911216</v>
      </c>
      <c r="L133" s="30">
        <v>0</v>
      </c>
      <c r="M133" s="30">
        <v>20079.607253999999</v>
      </c>
      <c r="N133" s="30">
        <v>19369.56684</v>
      </c>
      <c r="O133" s="30">
        <v>10808.023212</v>
      </c>
      <c r="P133" s="30">
        <v>10808.0232</v>
      </c>
      <c r="Q133" s="31">
        <v>0</v>
      </c>
      <c r="R133" s="31">
        <v>2785.9758729999999</v>
      </c>
      <c r="S133" s="31">
        <v>2613.5310209999998</v>
      </c>
      <c r="T133" s="31">
        <v>89.261917999999994</v>
      </c>
      <c r="U133" s="29">
        <v>0</v>
      </c>
      <c r="V133" s="29">
        <v>2152.613574</v>
      </c>
      <c r="W133" s="29">
        <v>189.04361599999999</v>
      </c>
      <c r="X133" s="29">
        <v>189.04361599999999</v>
      </c>
      <c r="Y133" s="30">
        <v>0</v>
      </c>
      <c r="Z133" s="30">
        <v>17980.454723999999</v>
      </c>
      <c r="AA133" s="30">
        <v>17336.217906000002</v>
      </c>
      <c r="AB133" s="30">
        <v>10476.573704</v>
      </c>
      <c r="AC133" s="30">
        <v>10476.573704</v>
      </c>
      <c r="AD133" s="31">
        <v>0</v>
      </c>
      <c r="AE133" s="31">
        <v>2424.5455579999998</v>
      </c>
      <c r="AF133" s="31">
        <v>2268.197545</v>
      </c>
      <c r="AG133" s="31">
        <v>147.34224699999999</v>
      </c>
      <c r="AH133" s="31">
        <v>147.34224699999999</v>
      </c>
      <c r="AI133" s="29">
        <v>0</v>
      </c>
      <c r="AJ133" s="29">
        <v>3085.361461</v>
      </c>
      <c r="AK133" s="30">
        <v>0</v>
      </c>
      <c r="AL133" s="30">
        <v>22575.750532999999</v>
      </c>
      <c r="AM133" s="30">
        <v>21821.719702999999</v>
      </c>
      <c r="AN133" s="31">
        <v>0</v>
      </c>
      <c r="AO133" s="31">
        <v>3448.0684500000002</v>
      </c>
      <c r="AP133" s="31">
        <v>3260.698922</v>
      </c>
      <c r="AQ133" s="31">
        <v>163.36946599999999</v>
      </c>
      <c r="AR133" s="29">
        <v>0</v>
      </c>
      <c r="AS133" s="29">
        <v>1737.8163030000001</v>
      </c>
      <c r="AT133" s="30">
        <v>0</v>
      </c>
      <c r="AU133" s="30">
        <v>14170.232223000001</v>
      </c>
      <c r="AV133" s="31">
        <v>0</v>
      </c>
      <c r="AW133" s="31">
        <v>1968.4356640000001</v>
      </c>
      <c r="AX133" s="31">
        <v>0</v>
      </c>
      <c r="AY133" s="29">
        <v>0</v>
      </c>
      <c r="AZ133" s="29">
        <v>8600.5859739999996</v>
      </c>
      <c r="BA133" s="30">
        <v>0</v>
      </c>
      <c r="BB133" s="30">
        <v>59363.867391</v>
      </c>
      <c r="BC133" s="31">
        <v>0</v>
      </c>
      <c r="BD133" s="31">
        <v>9697.5586999999996</v>
      </c>
    </row>
    <row r="134" spans="1:56" x14ac:dyDescent="0.3">
      <c r="A134" s="43"/>
      <c r="B134" s="43"/>
      <c r="C134" s="10" t="s">
        <v>257</v>
      </c>
      <c r="D134" s="3" t="s">
        <v>260</v>
      </c>
      <c r="E134" s="3" t="s">
        <v>261</v>
      </c>
      <c r="F134" s="3" t="s">
        <v>76</v>
      </c>
      <c r="G134" s="29">
        <v>0</v>
      </c>
      <c r="H134" s="29">
        <v>419456.402642</v>
      </c>
      <c r="I134" s="29">
        <v>22071.915627999999</v>
      </c>
      <c r="J134" s="29">
        <v>22071.915627999999</v>
      </c>
      <c r="K134" s="29">
        <v>22071.915627999999</v>
      </c>
      <c r="L134" s="30">
        <v>0</v>
      </c>
      <c r="M134" s="30">
        <v>3411525.2724779998</v>
      </c>
      <c r="N134" s="30">
        <v>3290889.406101</v>
      </c>
      <c r="O134" s="30">
        <v>1836283.143658</v>
      </c>
      <c r="P134" s="30">
        <v>1836283.1436999999</v>
      </c>
      <c r="Q134" s="31">
        <v>0</v>
      </c>
      <c r="R134" s="31">
        <v>473337.30078599998</v>
      </c>
      <c r="S134" s="31">
        <v>444038.92052599997</v>
      </c>
      <c r="T134" s="31">
        <v>15165.599937000001</v>
      </c>
      <c r="U134" s="29">
        <v>0</v>
      </c>
      <c r="V134" s="29">
        <v>365729.046233</v>
      </c>
      <c r="W134" s="29">
        <v>32118.510369</v>
      </c>
      <c r="X134" s="29">
        <v>32118.510369</v>
      </c>
      <c r="Y134" s="30">
        <v>0</v>
      </c>
      <c r="Z134" s="30">
        <v>3054879.2576299999</v>
      </c>
      <c r="AA134" s="30">
        <v>2945423.4222360002</v>
      </c>
      <c r="AB134" s="30">
        <v>1779969.872308</v>
      </c>
      <c r="AC134" s="30">
        <v>1779969.872308</v>
      </c>
      <c r="AD134" s="31">
        <v>0</v>
      </c>
      <c r="AE134" s="31">
        <v>411930.29038299999</v>
      </c>
      <c r="AF134" s="31">
        <v>385366.76286199997</v>
      </c>
      <c r="AG134" s="31">
        <v>25033.447735000002</v>
      </c>
      <c r="AH134" s="31">
        <v>25033.447735000002</v>
      </c>
      <c r="AI134" s="29">
        <v>0</v>
      </c>
      <c r="AJ134" s="29">
        <v>524202.91229000001</v>
      </c>
      <c r="AK134" s="30">
        <v>0</v>
      </c>
      <c r="AL134" s="30">
        <v>3835620.0154729998</v>
      </c>
      <c r="AM134" s="30">
        <v>3707510.1775099998</v>
      </c>
      <c r="AN134" s="31">
        <v>0</v>
      </c>
      <c r="AO134" s="31">
        <v>585826.82969699998</v>
      </c>
      <c r="AP134" s="31">
        <v>553992.74677099998</v>
      </c>
      <c r="AQ134" s="31">
        <v>27756.472355999998</v>
      </c>
      <c r="AR134" s="29">
        <v>0</v>
      </c>
      <c r="AS134" s="29">
        <v>203845.85235500001</v>
      </c>
      <c r="AT134" s="30">
        <v>0</v>
      </c>
      <c r="AU134" s="30">
        <v>1662168.239784</v>
      </c>
      <c r="AV134" s="31">
        <v>0</v>
      </c>
      <c r="AW134" s="31">
        <v>230897.50336599999</v>
      </c>
      <c r="AX134" s="31">
        <v>0</v>
      </c>
      <c r="AY134" s="29">
        <v>0</v>
      </c>
      <c r="AZ134" s="29">
        <v>799854.495597</v>
      </c>
      <c r="BA134" s="30">
        <v>0</v>
      </c>
      <c r="BB134" s="30">
        <v>5520839.6673219996</v>
      </c>
      <c r="BC134" s="31">
        <v>0</v>
      </c>
      <c r="BD134" s="31">
        <v>901872.95913500001</v>
      </c>
    </row>
    <row r="135" spans="1:56" x14ac:dyDescent="0.3">
      <c r="A135" s="43"/>
      <c r="B135" s="44"/>
      <c r="C135" s="12"/>
      <c r="D135" s="7"/>
      <c r="E135" s="7"/>
      <c r="F135" s="7"/>
      <c r="G135" s="32"/>
      <c r="H135" s="32"/>
      <c r="I135" s="32"/>
      <c r="J135" s="32"/>
      <c r="K135" s="32"/>
      <c r="L135" s="33"/>
      <c r="M135" s="33"/>
      <c r="N135" s="33"/>
      <c r="O135" s="33"/>
      <c r="P135" s="33"/>
      <c r="Q135" s="34"/>
      <c r="R135" s="34"/>
      <c r="S135" s="34"/>
      <c r="T135" s="34"/>
      <c r="U135" s="32"/>
      <c r="V135" s="32"/>
      <c r="W135" s="32"/>
      <c r="X135" s="32"/>
      <c r="Y135" s="33"/>
      <c r="Z135" s="33"/>
      <c r="AA135" s="33"/>
      <c r="AB135" s="33"/>
      <c r="AC135" s="33"/>
      <c r="AD135" s="34"/>
      <c r="AE135" s="34"/>
      <c r="AF135" s="34"/>
      <c r="AG135" s="34"/>
      <c r="AH135" s="34"/>
      <c r="AI135" s="32"/>
      <c r="AJ135" s="32"/>
      <c r="AK135" s="33"/>
      <c r="AL135" s="33"/>
      <c r="AM135" s="33"/>
      <c r="AN135" s="34"/>
      <c r="AO135" s="34"/>
      <c r="AP135" s="34"/>
      <c r="AQ135" s="34"/>
      <c r="AR135" s="32"/>
      <c r="AS135" s="32"/>
      <c r="AT135" s="33"/>
      <c r="AU135" s="33"/>
      <c r="AV135" s="34"/>
      <c r="AW135" s="34"/>
      <c r="AX135" s="34"/>
      <c r="AY135" s="32"/>
      <c r="AZ135" s="32"/>
      <c r="BA135" s="33"/>
      <c r="BB135" s="33"/>
      <c r="BC135" s="34"/>
      <c r="BD135" s="34"/>
    </row>
    <row r="136" spans="1:56" x14ac:dyDescent="0.3">
      <c r="A136" s="43"/>
      <c r="B136" s="46" t="s">
        <v>262</v>
      </c>
      <c r="C136" s="10" t="s">
        <v>263</v>
      </c>
      <c r="D136" s="3" t="s">
        <v>264</v>
      </c>
      <c r="E136" s="3" t="s">
        <v>265</v>
      </c>
      <c r="F136" s="3" t="s">
        <v>110</v>
      </c>
      <c r="G136" s="32"/>
      <c r="H136" s="32"/>
      <c r="I136" s="32"/>
      <c r="J136" s="29">
        <v>0</v>
      </c>
      <c r="K136" s="29">
        <v>0</v>
      </c>
      <c r="L136" s="33"/>
      <c r="M136" s="33"/>
      <c r="N136" s="33"/>
      <c r="O136" s="33"/>
      <c r="P136" s="33"/>
      <c r="Q136" s="34"/>
      <c r="R136" s="34"/>
      <c r="S136" s="34"/>
      <c r="T136" s="34"/>
      <c r="U136" s="32"/>
      <c r="V136" s="32"/>
      <c r="W136" s="32"/>
      <c r="X136" s="29">
        <v>0</v>
      </c>
      <c r="Y136" s="33"/>
      <c r="Z136" s="33"/>
      <c r="AA136" s="33"/>
      <c r="AB136" s="33"/>
      <c r="AC136" s="33"/>
      <c r="AD136" s="34"/>
      <c r="AE136" s="34"/>
      <c r="AF136" s="34"/>
      <c r="AG136" s="34"/>
      <c r="AH136" s="34"/>
      <c r="AI136" s="32"/>
      <c r="AJ136" s="32"/>
      <c r="AK136" s="33"/>
      <c r="AL136" s="33"/>
      <c r="AM136" s="33"/>
      <c r="AN136" s="34"/>
      <c r="AO136" s="34"/>
      <c r="AP136" s="34"/>
      <c r="AQ136" s="34"/>
      <c r="AR136" s="32"/>
      <c r="AS136" s="32"/>
      <c r="AT136" s="33"/>
      <c r="AU136" s="33"/>
      <c r="AV136" s="34"/>
      <c r="AW136" s="34"/>
      <c r="AX136" s="34"/>
      <c r="AY136" s="32"/>
      <c r="AZ136" s="32"/>
      <c r="BA136" s="33"/>
      <c r="BB136" s="33"/>
      <c r="BC136" s="34"/>
      <c r="BD136" s="34"/>
    </row>
    <row r="137" spans="1:56" x14ac:dyDescent="0.3">
      <c r="A137" s="43"/>
      <c r="B137" s="43"/>
      <c r="C137" s="10" t="s">
        <v>263</v>
      </c>
      <c r="D137" s="3" t="s">
        <v>260</v>
      </c>
      <c r="E137" s="3" t="s">
        <v>266</v>
      </c>
      <c r="F137" s="3" t="s">
        <v>76</v>
      </c>
      <c r="G137" s="32"/>
      <c r="H137" s="32"/>
      <c r="I137" s="32"/>
      <c r="J137" s="29">
        <v>0</v>
      </c>
      <c r="K137" s="29">
        <v>0</v>
      </c>
      <c r="L137" s="33"/>
      <c r="M137" s="33"/>
      <c r="N137" s="33"/>
      <c r="O137" s="33"/>
      <c r="P137" s="33"/>
      <c r="Q137" s="34"/>
      <c r="R137" s="34"/>
      <c r="S137" s="34"/>
      <c r="T137" s="34"/>
      <c r="U137" s="32"/>
      <c r="V137" s="32"/>
      <c r="W137" s="32"/>
      <c r="X137" s="29">
        <v>0</v>
      </c>
      <c r="Y137" s="33"/>
      <c r="Z137" s="33"/>
      <c r="AA137" s="33"/>
      <c r="AB137" s="33"/>
      <c r="AC137" s="33"/>
      <c r="AD137" s="34"/>
      <c r="AE137" s="34"/>
      <c r="AF137" s="34"/>
      <c r="AG137" s="34"/>
      <c r="AH137" s="34"/>
      <c r="AI137" s="32"/>
      <c r="AJ137" s="32"/>
      <c r="AK137" s="33"/>
      <c r="AL137" s="33"/>
      <c r="AM137" s="33"/>
      <c r="AN137" s="34"/>
      <c r="AO137" s="34"/>
      <c r="AP137" s="34"/>
      <c r="AQ137" s="34"/>
      <c r="AR137" s="32"/>
      <c r="AS137" s="32"/>
      <c r="AT137" s="33"/>
      <c r="AU137" s="33"/>
      <c r="AV137" s="34"/>
      <c r="AW137" s="34"/>
      <c r="AX137" s="34"/>
      <c r="AY137" s="32"/>
      <c r="AZ137" s="32"/>
      <c r="BA137" s="33"/>
      <c r="BB137" s="33"/>
      <c r="BC137" s="34"/>
      <c r="BD137" s="34"/>
    </row>
    <row r="138" spans="1:56" x14ac:dyDescent="0.3">
      <c r="A138" s="43"/>
      <c r="B138" s="44"/>
      <c r="C138" s="12"/>
      <c r="D138" s="7"/>
      <c r="E138" s="7"/>
      <c r="F138" s="7"/>
      <c r="G138" s="32"/>
      <c r="H138" s="32"/>
      <c r="I138" s="32"/>
      <c r="J138" s="32"/>
      <c r="K138" s="32"/>
      <c r="L138" s="33"/>
      <c r="M138" s="33"/>
      <c r="N138" s="33"/>
      <c r="O138" s="33"/>
      <c r="P138" s="33"/>
      <c r="Q138" s="34"/>
      <c r="R138" s="34"/>
      <c r="S138" s="34"/>
      <c r="T138" s="34"/>
      <c r="U138" s="32"/>
      <c r="V138" s="32"/>
      <c r="W138" s="32"/>
      <c r="X138" s="32"/>
      <c r="Y138" s="33"/>
      <c r="Z138" s="33"/>
      <c r="AA138" s="33"/>
      <c r="AB138" s="33"/>
      <c r="AC138" s="33"/>
      <c r="AD138" s="34"/>
      <c r="AE138" s="34"/>
      <c r="AF138" s="34"/>
      <c r="AG138" s="34"/>
      <c r="AH138" s="34"/>
      <c r="AI138" s="32"/>
      <c r="AJ138" s="32"/>
      <c r="AK138" s="33"/>
      <c r="AL138" s="33"/>
      <c r="AM138" s="33"/>
      <c r="AN138" s="34"/>
      <c r="AO138" s="34"/>
      <c r="AP138" s="34"/>
      <c r="AQ138" s="34"/>
      <c r="AR138" s="32"/>
      <c r="AS138" s="32"/>
      <c r="AT138" s="33"/>
      <c r="AU138" s="33"/>
      <c r="AV138" s="34"/>
      <c r="AW138" s="34"/>
      <c r="AX138" s="34"/>
      <c r="AY138" s="32"/>
      <c r="AZ138" s="32"/>
      <c r="BA138" s="33"/>
      <c r="BB138" s="33"/>
      <c r="BC138" s="34"/>
      <c r="BD138" s="34"/>
    </row>
    <row r="139" spans="1:56" x14ac:dyDescent="0.3">
      <c r="A139" s="43"/>
      <c r="B139" s="46" t="s">
        <v>267</v>
      </c>
      <c r="C139" s="11" t="s">
        <v>268</v>
      </c>
      <c r="D139" s="6" t="s">
        <v>269</v>
      </c>
      <c r="E139" s="6" t="s">
        <v>270</v>
      </c>
      <c r="F139" s="6" t="s">
        <v>70</v>
      </c>
      <c r="G139" s="32"/>
      <c r="H139" s="32"/>
      <c r="I139" s="29">
        <v>172379.20360499999</v>
      </c>
      <c r="J139" s="29">
        <v>172379.20360499999</v>
      </c>
      <c r="K139" s="29">
        <v>172379.20360499999</v>
      </c>
      <c r="L139" s="33"/>
      <c r="M139" s="33"/>
      <c r="N139" s="33"/>
      <c r="O139" s="30">
        <v>722837.07803500001</v>
      </c>
      <c r="P139" s="30">
        <v>722837.07799999998</v>
      </c>
      <c r="Q139" s="34"/>
      <c r="R139" s="34"/>
      <c r="S139" s="34"/>
      <c r="T139" s="31">
        <v>182912.699027</v>
      </c>
      <c r="U139" s="32"/>
      <c r="V139" s="32"/>
      <c r="W139" s="29">
        <v>160382.70665400001</v>
      </c>
      <c r="X139" s="29">
        <v>160382.70665400001</v>
      </c>
      <c r="Y139" s="33"/>
      <c r="Z139" s="33"/>
      <c r="AA139" s="33"/>
      <c r="AB139" s="30">
        <v>671705.24072799995</v>
      </c>
      <c r="AC139" s="30">
        <v>671705.24072799995</v>
      </c>
      <c r="AD139" s="34"/>
      <c r="AE139" s="34"/>
      <c r="AF139" s="34"/>
      <c r="AG139" s="31">
        <v>170688.69236399999</v>
      </c>
      <c r="AH139" s="31">
        <v>170688.69236399999</v>
      </c>
      <c r="AI139" s="32"/>
      <c r="AJ139" s="32"/>
      <c r="AK139" s="33"/>
      <c r="AL139" s="33"/>
      <c r="AM139" s="33"/>
      <c r="AN139" s="34"/>
      <c r="AO139" s="34"/>
      <c r="AP139" s="34"/>
      <c r="AQ139" s="31">
        <v>211661.11079999999</v>
      </c>
      <c r="AR139" s="32"/>
      <c r="AS139" s="32"/>
      <c r="AT139" s="33"/>
      <c r="AU139" s="33"/>
      <c r="AV139" s="34"/>
      <c r="AW139" s="34"/>
      <c r="AX139" s="34"/>
      <c r="AY139" s="32"/>
      <c r="AZ139" s="32"/>
      <c r="BA139" s="33"/>
      <c r="BB139" s="33"/>
      <c r="BC139" s="34"/>
      <c r="BD139" s="34"/>
    </row>
    <row r="140" spans="1:56" x14ac:dyDescent="0.3">
      <c r="A140" s="43"/>
      <c r="B140" s="43"/>
      <c r="C140" s="10" t="s">
        <v>268</v>
      </c>
      <c r="D140" s="3" t="s">
        <v>271</v>
      </c>
      <c r="E140" s="3" t="s">
        <v>272</v>
      </c>
      <c r="F140" s="3" t="s">
        <v>76</v>
      </c>
      <c r="G140" s="32"/>
      <c r="H140" s="32"/>
      <c r="I140" s="29">
        <v>861896.018025</v>
      </c>
      <c r="J140" s="29">
        <v>861896.018025</v>
      </c>
      <c r="K140" s="29">
        <v>861896.018025</v>
      </c>
      <c r="L140" s="33"/>
      <c r="M140" s="33"/>
      <c r="N140" s="33"/>
      <c r="O140" s="30">
        <v>3614185.3901769998</v>
      </c>
      <c r="P140" s="30">
        <v>3614185.3901999998</v>
      </c>
      <c r="Q140" s="34"/>
      <c r="R140" s="34"/>
      <c r="S140" s="34"/>
      <c r="T140" s="31">
        <v>914563.49513599998</v>
      </c>
      <c r="U140" s="32"/>
      <c r="V140" s="32"/>
      <c r="W140" s="29">
        <v>801913.53327100002</v>
      </c>
      <c r="X140" s="29">
        <v>801913.53327100002</v>
      </c>
      <c r="Y140" s="33"/>
      <c r="Z140" s="33"/>
      <c r="AA140" s="33"/>
      <c r="AB140" s="30">
        <v>3358526.20364</v>
      </c>
      <c r="AC140" s="30">
        <v>3358526.20364</v>
      </c>
      <c r="AD140" s="34"/>
      <c r="AE140" s="34"/>
      <c r="AF140" s="34"/>
      <c r="AG140" s="31">
        <v>853443.46181999997</v>
      </c>
      <c r="AH140" s="31">
        <v>853443.46181999997</v>
      </c>
      <c r="AI140" s="32"/>
      <c r="AJ140" s="32"/>
      <c r="AK140" s="33"/>
      <c r="AL140" s="33"/>
      <c r="AM140" s="33"/>
      <c r="AN140" s="34"/>
      <c r="AO140" s="34"/>
      <c r="AP140" s="34"/>
      <c r="AQ140" s="31">
        <v>1058305.554002</v>
      </c>
      <c r="AR140" s="32"/>
      <c r="AS140" s="32"/>
      <c r="AT140" s="33"/>
      <c r="AU140" s="33"/>
      <c r="AV140" s="34"/>
      <c r="AW140" s="34"/>
      <c r="AX140" s="34"/>
      <c r="AY140" s="32"/>
      <c r="AZ140" s="32"/>
      <c r="BA140" s="33"/>
      <c r="BB140" s="33"/>
      <c r="BC140" s="34"/>
      <c r="BD140" s="34"/>
    </row>
    <row r="141" spans="1:56" x14ac:dyDescent="0.3">
      <c r="A141" s="43"/>
      <c r="B141" s="44"/>
      <c r="C141" s="12"/>
      <c r="D141" s="7"/>
      <c r="E141" s="7"/>
      <c r="F141" s="7"/>
      <c r="G141" s="32"/>
      <c r="H141" s="32"/>
      <c r="I141" s="32"/>
      <c r="J141" s="32"/>
      <c r="K141" s="32"/>
      <c r="L141" s="33"/>
      <c r="M141" s="33"/>
      <c r="N141" s="33"/>
      <c r="O141" s="33"/>
      <c r="P141" s="33"/>
      <c r="Q141" s="34"/>
      <c r="R141" s="34"/>
      <c r="S141" s="34"/>
      <c r="T141" s="34"/>
      <c r="U141" s="32"/>
      <c r="V141" s="32"/>
      <c r="W141" s="32"/>
      <c r="X141" s="32"/>
      <c r="Y141" s="33"/>
      <c r="Z141" s="33"/>
      <c r="AA141" s="33"/>
      <c r="AB141" s="33"/>
      <c r="AC141" s="33"/>
      <c r="AD141" s="34"/>
      <c r="AE141" s="34"/>
      <c r="AF141" s="34"/>
      <c r="AG141" s="34"/>
      <c r="AH141" s="34"/>
      <c r="AI141" s="32"/>
      <c r="AJ141" s="32"/>
      <c r="AK141" s="33"/>
      <c r="AL141" s="33"/>
      <c r="AM141" s="33"/>
      <c r="AN141" s="34"/>
      <c r="AO141" s="34"/>
      <c r="AP141" s="34"/>
      <c r="AQ141" s="34"/>
      <c r="AR141" s="32"/>
      <c r="AS141" s="32"/>
      <c r="AT141" s="33"/>
      <c r="AU141" s="33"/>
      <c r="AV141" s="34"/>
      <c r="AW141" s="34"/>
      <c r="AX141" s="34"/>
      <c r="AY141" s="32"/>
      <c r="AZ141" s="32"/>
      <c r="BA141" s="33"/>
      <c r="BB141" s="33"/>
      <c r="BC141" s="34"/>
      <c r="BD141" s="34"/>
    </row>
    <row r="142" spans="1:56" x14ac:dyDescent="0.3">
      <c r="A142" s="43"/>
      <c r="B142" s="46" t="s">
        <v>273</v>
      </c>
      <c r="C142" s="10" t="s">
        <v>274</v>
      </c>
      <c r="D142" s="3" t="s">
        <v>275</v>
      </c>
      <c r="E142" s="3" t="s">
        <v>276</v>
      </c>
      <c r="F142" s="3" t="s">
        <v>197</v>
      </c>
      <c r="G142" s="32"/>
      <c r="H142" s="32"/>
      <c r="I142" s="32"/>
      <c r="J142" s="32"/>
      <c r="K142" s="32"/>
      <c r="L142" s="33"/>
      <c r="M142" s="33"/>
      <c r="N142" s="30">
        <v>30376263.600000001</v>
      </c>
      <c r="O142" s="30">
        <v>30376263.600000001</v>
      </c>
      <c r="P142" s="30">
        <v>30376263.600000001</v>
      </c>
      <c r="Q142" s="34"/>
      <c r="R142" s="34"/>
      <c r="S142" s="31">
        <v>8594107.5</v>
      </c>
      <c r="T142" s="31">
        <v>8594107.5</v>
      </c>
      <c r="U142" s="32"/>
      <c r="V142" s="32"/>
      <c r="W142" s="32"/>
      <c r="X142" s="32"/>
      <c r="Y142" s="33"/>
      <c r="Z142" s="33"/>
      <c r="AA142" s="30">
        <v>30376263.600000001</v>
      </c>
      <c r="AB142" s="30">
        <v>30376263.600000001</v>
      </c>
      <c r="AC142" s="30">
        <v>30376263.600000001</v>
      </c>
      <c r="AD142" s="34"/>
      <c r="AE142" s="34"/>
      <c r="AF142" s="31">
        <v>8594107.5</v>
      </c>
      <c r="AG142" s="31">
        <v>8594107.5</v>
      </c>
      <c r="AH142" s="31">
        <v>8594107.5</v>
      </c>
      <c r="AI142" s="32"/>
      <c r="AJ142" s="32"/>
      <c r="AK142" s="33"/>
      <c r="AL142" s="33"/>
      <c r="AM142" s="30">
        <v>30376263.600000001</v>
      </c>
      <c r="AN142" s="34"/>
      <c r="AO142" s="34"/>
      <c r="AP142" s="31">
        <v>8594107.5</v>
      </c>
      <c r="AQ142" s="31">
        <v>8594107.5</v>
      </c>
      <c r="AR142" s="32"/>
      <c r="AS142" s="32"/>
      <c r="AT142" s="33"/>
      <c r="AU142" s="33"/>
      <c r="AV142" s="34"/>
      <c r="AW142" s="34"/>
      <c r="AX142" s="31">
        <v>8594107.5</v>
      </c>
      <c r="AY142" s="32"/>
      <c r="AZ142" s="32"/>
      <c r="BA142" s="33"/>
      <c r="BB142" s="33"/>
      <c r="BC142" s="34"/>
      <c r="BD142" s="34"/>
    </row>
    <row r="143" spans="1:56" x14ac:dyDescent="0.3">
      <c r="A143" s="43"/>
      <c r="B143" s="43"/>
      <c r="C143" s="10" t="s">
        <v>274</v>
      </c>
      <c r="D143" s="3" t="s">
        <v>277</v>
      </c>
      <c r="E143" s="3" t="s">
        <v>278</v>
      </c>
      <c r="F143" s="3" t="s">
        <v>76</v>
      </c>
      <c r="G143" s="32"/>
      <c r="H143" s="32"/>
      <c r="I143" s="32"/>
      <c r="J143" s="32"/>
      <c r="K143" s="32"/>
      <c r="L143" s="33"/>
      <c r="M143" s="33"/>
      <c r="N143" s="30">
        <v>0</v>
      </c>
      <c r="O143" s="30">
        <v>0</v>
      </c>
      <c r="P143" s="30">
        <v>0</v>
      </c>
      <c r="Q143" s="34"/>
      <c r="R143" s="34"/>
      <c r="S143" s="31">
        <v>0</v>
      </c>
      <c r="T143" s="31">
        <v>0</v>
      </c>
      <c r="U143" s="32"/>
      <c r="V143" s="32"/>
      <c r="W143" s="32"/>
      <c r="X143" s="32"/>
      <c r="Y143" s="33"/>
      <c r="Z143" s="33"/>
      <c r="AA143" s="30">
        <v>0</v>
      </c>
      <c r="AB143" s="30">
        <v>0</v>
      </c>
      <c r="AC143" s="30">
        <v>0</v>
      </c>
      <c r="AD143" s="34"/>
      <c r="AE143" s="34"/>
      <c r="AF143" s="31">
        <v>0</v>
      </c>
      <c r="AG143" s="31">
        <v>0</v>
      </c>
      <c r="AH143" s="31">
        <v>0</v>
      </c>
      <c r="AI143" s="32"/>
      <c r="AJ143" s="32"/>
      <c r="AK143" s="33"/>
      <c r="AL143" s="33"/>
      <c r="AM143" s="30">
        <v>0</v>
      </c>
      <c r="AN143" s="34"/>
      <c r="AO143" s="34"/>
      <c r="AP143" s="31">
        <v>0</v>
      </c>
      <c r="AQ143" s="31">
        <v>0</v>
      </c>
      <c r="AR143" s="32"/>
      <c r="AS143" s="32"/>
      <c r="AT143" s="33"/>
      <c r="AU143" s="33"/>
      <c r="AV143" s="34"/>
      <c r="AW143" s="34"/>
      <c r="AX143" s="31">
        <v>0</v>
      </c>
      <c r="AY143" s="32"/>
      <c r="AZ143" s="32"/>
      <c r="BA143" s="33"/>
      <c r="BB143" s="33"/>
      <c r="BC143" s="34"/>
      <c r="BD143" s="34"/>
    </row>
    <row r="144" spans="1:56" x14ac:dyDescent="0.3">
      <c r="A144" s="43"/>
      <c r="B144" s="44"/>
      <c r="C144" s="10"/>
      <c r="G144" s="32"/>
      <c r="H144" s="32"/>
      <c r="I144" s="32"/>
      <c r="J144" s="32"/>
      <c r="K144" s="32"/>
      <c r="L144" s="33"/>
      <c r="M144" s="33"/>
      <c r="N144" s="33"/>
      <c r="O144" s="33"/>
      <c r="P144" s="33"/>
      <c r="Q144" s="34"/>
      <c r="R144" s="34"/>
      <c r="S144" s="34"/>
      <c r="T144" s="34"/>
      <c r="U144" s="32"/>
      <c r="V144" s="32"/>
      <c r="W144" s="32"/>
      <c r="X144" s="32"/>
      <c r="Y144" s="33"/>
      <c r="Z144" s="33"/>
      <c r="AA144" s="33"/>
      <c r="AB144" s="33"/>
      <c r="AC144" s="33"/>
      <c r="AD144" s="34"/>
      <c r="AE144" s="34"/>
      <c r="AF144" s="34"/>
      <c r="AG144" s="34"/>
      <c r="AH144" s="34"/>
      <c r="AI144" s="32"/>
      <c r="AJ144" s="32"/>
      <c r="AK144" s="33"/>
      <c r="AL144" s="33"/>
      <c r="AM144" s="33"/>
      <c r="AN144" s="34"/>
      <c r="AO144" s="34"/>
      <c r="AP144" s="34"/>
      <c r="AQ144" s="34"/>
      <c r="AR144" s="32"/>
      <c r="AS144" s="32"/>
      <c r="AT144" s="33"/>
      <c r="AU144" s="33"/>
      <c r="AV144" s="34"/>
      <c r="AW144" s="34"/>
      <c r="AX144" s="34"/>
      <c r="AY144" s="32"/>
      <c r="AZ144" s="32"/>
      <c r="BA144" s="33"/>
      <c r="BB144" s="33"/>
      <c r="BC144" s="34"/>
      <c r="BD144" s="34"/>
    </row>
    <row r="145" spans="1:56" x14ac:dyDescent="0.3">
      <c r="A145" s="43"/>
      <c r="B145" s="42" t="s">
        <v>279</v>
      </c>
      <c r="C145" s="13" t="s">
        <v>279</v>
      </c>
      <c r="D145" s="6" t="s">
        <v>59</v>
      </c>
      <c r="E145" s="6" t="s">
        <v>280</v>
      </c>
      <c r="F145" s="6" t="s">
        <v>61</v>
      </c>
      <c r="G145" s="29">
        <v>81.205782999999997</v>
      </c>
      <c r="H145" s="29">
        <v>81.205782999999997</v>
      </c>
      <c r="I145" s="29">
        <v>81.205782999999997</v>
      </c>
      <c r="J145" s="29">
        <v>81.205782999999997</v>
      </c>
      <c r="K145" s="29">
        <v>81.205782999999997</v>
      </c>
      <c r="L145" s="30">
        <v>81.205782999999997</v>
      </c>
      <c r="M145" s="30">
        <v>81.205782999999997</v>
      </c>
      <c r="N145" s="30">
        <v>81.205782999999997</v>
      </c>
      <c r="O145" s="30">
        <v>81.205782999999997</v>
      </c>
      <c r="P145" s="30">
        <v>81.205799999999996</v>
      </c>
      <c r="Q145" s="31">
        <v>81.205782999999997</v>
      </c>
      <c r="R145" s="31">
        <v>81.205782999999997</v>
      </c>
      <c r="S145" s="31">
        <v>81.205782999999997</v>
      </c>
      <c r="T145" s="31">
        <v>81.205782999999997</v>
      </c>
      <c r="U145" s="29">
        <v>81.205782999999997</v>
      </c>
      <c r="V145" s="29">
        <v>81.205782999999997</v>
      </c>
      <c r="W145" s="29">
        <v>81.205782999999997</v>
      </c>
      <c r="X145" s="29">
        <v>81.205782999999997</v>
      </c>
      <c r="Y145" s="30">
        <v>81.205782999999997</v>
      </c>
      <c r="Z145" s="30">
        <v>81.205782999999997</v>
      </c>
      <c r="AA145" s="30">
        <v>81.205782999999997</v>
      </c>
      <c r="AB145" s="30">
        <v>81.205782999999997</v>
      </c>
      <c r="AC145" s="30">
        <v>81.205782999999997</v>
      </c>
      <c r="AD145" s="31">
        <v>81.205782999999997</v>
      </c>
      <c r="AE145" s="31">
        <v>81.205782999999997</v>
      </c>
      <c r="AF145" s="31">
        <v>81.205782999999997</v>
      </c>
      <c r="AG145" s="31">
        <v>81.205782999999997</v>
      </c>
      <c r="AH145" s="31">
        <v>81.205782999999997</v>
      </c>
      <c r="AI145" s="29">
        <v>81.205782999999997</v>
      </c>
      <c r="AJ145" s="29">
        <v>81.205782999999997</v>
      </c>
      <c r="AK145" s="30">
        <v>81.205782999999997</v>
      </c>
      <c r="AL145" s="30">
        <v>81.205782999999997</v>
      </c>
      <c r="AM145" s="30">
        <v>81.205782999999997</v>
      </c>
      <c r="AN145" s="31">
        <v>81.205782999999997</v>
      </c>
      <c r="AO145" s="31">
        <v>81.205782999999997</v>
      </c>
      <c r="AP145" s="31">
        <v>81.205782999999997</v>
      </c>
      <c r="AQ145" s="31">
        <v>81.205782999999997</v>
      </c>
      <c r="AR145" s="29">
        <v>87.691461000000004</v>
      </c>
      <c r="AS145" s="29">
        <v>87.691461000000004</v>
      </c>
      <c r="AT145" s="30">
        <v>87.691461000000004</v>
      </c>
      <c r="AU145" s="30">
        <v>87.691461000000004</v>
      </c>
      <c r="AV145" s="31">
        <v>87.691461000000004</v>
      </c>
      <c r="AW145" s="31">
        <v>87.691461000000004</v>
      </c>
      <c r="AX145" s="31">
        <v>81.205782999999997</v>
      </c>
      <c r="AY145" s="29">
        <v>104.812775</v>
      </c>
      <c r="AZ145" s="29">
        <v>104.812775</v>
      </c>
      <c r="BA145" s="30">
        <v>104.812775</v>
      </c>
      <c r="BB145" s="30">
        <v>104.812775</v>
      </c>
      <c r="BC145" s="31">
        <v>104.812775</v>
      </c>
      <c r="BD145" s="31">
        <v>104.812775</v>
      </c>
    </row>
    <row r="146" spans="1:56" x14ac:dyDescent="0.3">
      <c r="A146" s="43"/>
      <c r="B146" s="43"/>
      <c r="C146" s="14" t="s">
        <v>279</v>
      </c>
      <c r="D146" s="3" t="s">
        <v>62</v>
      </c>
      <c r="E146" s="3" t="s">
        <v>281</v>
      </c>
      <c r="F146" s="3" t="s">
        <v>64</v>
      </c>
      <c r="G146" s="29">
        <v>5773.2436760000001</v>
      </c>
      <c r="H146" s="29">
        <v>3475.4584450000002</v>
      </c>
      <c r="I146" s="29">
        <v>993.72767899999997</v>
      </c>
      <c r="J146" s="29">
        <v>993.72767899999997</v>
      </c>
      <c r="K146" s="29">
        <v>993.72767899999997</v>
      </c>
      <c r="L146" s="30">
        <v>46979.275255</v>
      </c>
      <c r="M146" s="30">
        <v>23547.577654000001</v>
      </c>
      <c r="N146" s="30">
        <v>22755.975103000001</v>
      </c>
      <c r="O146" s="30">
        <v>14958.811308</v>
      </c>
      <c r="P146" s="30">
        <v>14958.811299999999</v>
      </c>
      <c r="Q146" s="31">
        <v>6455.7139729999999</v>
      </c>
      <c r="R146" s="31">
        <v>3906.7313589999999</v>
      </c>
      <c r="S146" s="31">
        <v>3690.7263269999999</v>
      </c>
      <c r="T146" s="31">
        <v>1042.3618300000001</v>
      </c>
      <c r="U146" s="29">
        <v>5419.9290819999997</v>
      </c>
      <c r="V146" s="29">
        <v>2214.8967080000002</v>
      </c>
      <c r="W146" s="29">
        <v>283.45742300000001</v>
      </c>
      <c r="X146" s="29">
        <v>283.45742300000001</v>
      </c>
      <c r="Y146" s="30">
        <v>15555.847006</v>
      </c>
      <c r="Z146" s="30">
        <v>16539.146588</v>
      </c>
      <c r="AA146" s="30">
        <v>16066.631685</v>
      </c>
      <c r="AB146" s="30">
        <v>10492.940804</v>
      </c>
      <c r="AC146" s="30">
        <v>10492.940804</v>
      </c>
      <c r="AD146" s="31">
        <v>6088.6521039999998</v>
      </c>
      <c r="AE146" s="31">
        <v>2527.0192059999999</v>
      </c>
      <c r="AF146" s="31">
        <v>2385.1071440000001</v>
      </c>
      <c r="AG146" s="31">
        <v>217.698464</v>
      </c>
      <c r="AH146" s="31">
        <v>217.698464</v>
      </c>
      <c r="AI146" s="29">
        <v>4835.3268330000001</v>
      </c>
      <c r="AJ146" s="29">
        <v>4347.2117639999997</v>
      </c>
      <c r="AK146" s="30">
        <v>34004.494510999997</v>
      </c>
      <c r="AL146" s="30">
        <v>30640.064719000002</v>
      </c>
      <c r="AM146" s="30">
        <v>29549.932864999999</v>
      </c>
      <c r="AN146" s="31">
        <v>5440.9118189999999</v>
      </c>
      <c r="AO146" s="31">
        <v>4942.4642009999998</v>
      </c>
      <c r="AP146" s="31">
        <v>4637.359856</v>
      </c>
      <c r="AQ146" s="31">
        <v>1261.452319</v>
      </c>
      <c r="AR146" s="29">
        <v>887.65664000000004</v>
      </c>
      <c r="AS146" s="29">
        <v>0</v>
      </c>
      <c r="AT146" s="30">
        <v>10421.126353</v>
      </c>
      <c r="AU146" s="30">
        <v>0</v>
      </c>
      <c r="AV146" s="31">
        <v>888.52454399999999</v>
      </c>
      <c r="AW146" s="31">
        <v>0</v>
      </c>
      <c r="AX146" s="31">
        <v>725.88954699999999</v>
      </c>
      <c r="AY146" s="29">
        <v>0</v>
      </c>
      <c r="AZ146" s="29">
        <v>0</v>
      </c>
      <c r="BA146" s="30">
        <v>15053.337619</v>
      </c>
      <c r="BB146" s="30">
        <v>0</v>
      </c>
      <c r="BC146" s="31">
        <v>0</v>
      </c>
      <c r="BD146" s="31">
        <v>0</v>
      </c>
    </row>
    <row r="147" spans="1:56" x14ac:dyDescent="0.3">
      <c r="A147" s="43"/>
      <c r="B147" s="43"/>
      <c r="C147" s="14" t="s">
        <v>279</v>
      </c>
      <c r="D147" s="3" t="s">
        <v>282</v>
      </c>
      <c r="E147" s="3" t="s">
        <v>283</v>
      </c>
      <c r="F147" s="3" t="s">
        <v>67</v>
      </c>
      <c r="G147" s="29">
        <v>7442.126773</v>
      </c>
      <c r="H147" s="29">
        <v>4480.1161689999999</v>
      </c>
      <c r="I147" s="29">
        <v>1280.9865259999999</v>
      </c>
      <c r="J147" s="29">
        <v>1280.9865259999999</v>
      </c>
      <c r="K147" s="29">
        <v>1280.9865259999999</v>
      </c>
      <c r="L147" s="30">
        <v>60559.668312000002</v>
      </c>
      <c r="M147" s="30">
        <v>30354.523022000001</v>
      </c>
      <c r="N147" s="30">
        <v>29334.090338000002</v>
      </c>
      <c r="O147" s="30">
        <v>19282.984810999998</v>
      </c>
      <c r="P147" s="30">
        <v>19282.984799999998</v>
      </c>
      <c r="Q147" s="31">
        <v>8321.8801230000008</v>
      </c>
      <c r="R147" s="31">
        <v>5036.0580060000002</v>
      </c>
      <c r="S147" s="31">
        <v>4757.6119680000002</v>
      </c>
      <c r="T147" s="31">
        <v>1343.679449</v>
      </c>
      <c r="U147" s="29">
        <v>6577.7993710000001</v>
      </c>
      <c r="V147" s="29">
        <v>2688.0695219999998</v>
      </c>
      <c r="W147" s="29">
        <v>344.01299899999998</v>
      </c>
      <c r="X147" s="29">
        <v>344.01299899999998</v>
      </c>
      <c r="Y147" s="30">
        <v>18879.073713000002</v>
      </c>
      <c r="Z147" s="30">
        <v>20072.437551999999</v>
      </c>
      <c r="AA147" s="30">
        <v>19498.978345</v>
      </c>
      <c r="AB147" s="30">
        <v>12734.568733</v>
      </c>
      <c r="AC147" s="30">
        <v>12734.568733</v>
      </c>
      <c r="AD147" s="31">
        <v>7389.3830310000003</v>
      </c>
      <c r="AE147" s="31">
        <v>3066.8713729999999</v>
      </c>
      <c r="AF147" s="31">
        <v>2894.6423530000002</v>
      </c>
      <c r="AG147" s="31">
        <v>264.20582200000001</v>
      </c>
      <c r="AH147" s="31">
        <v>264.20582200000001</v>
      </c>
      <c r="AI147" s="29">
        <v>6153.8914480000003</v>
      </c>
      <c r="AJ147" s="29">
        <v>5532.6703289999996</v>
      </c>
      <c r="AK147" s="30">
        <v>43277.316137000002</v>
      </c>
      <c r="AL147" s="30">
        <v>38995.426527000003</v>
      </c>
      <c r="AM147" s="30">
        <v>37608.022257999997</v>
      </c>
      <c r="AN147" s="31">
        <v>6924.6158269999996</v>
      </c>
      <c r="AO147" s="31">
        <v>6290.244533</v>
      </c>
      <c r="AP147" s="31">
        <v>5901.9400649999998</v>
      </c>
      <c r="AQ147" s="31">
        <v>1605.4427969999999</v>
      </c>
      <c r="AR147" s="29">
        <v>971.69730700000002</v>
      </c>
      <c r="AS147" s="29">
        <v>0</v>
      </c>
      <c r="AT147" s="30">
        <v>11407.767333</v>
      </c>
      <c r="AU147" s="30">
        <v>0</v>
      </c>
      <c r="AV147" s="31">
        <v>972.64738199999999</v>
      </c>
      <c r="AW147" s="31">
        <v>0</v>
      </c>
      <c r="AX147" s="31">
        <v>794.61459200000002</v>
      </c>
      <c r="AY147" s="29">
        <v>0</v>
      </c>
      <c r="AZ147" s="29">
        <v>0</v>
      </c>
      <c r="BA147" s="30">
        <v>26432.095311000001</v>
      </c>
      <c r="BB147" s="30">
        <v>0</v>
      </c>
      <c r="BC147" s="31">
        <v>0</v>
      </c>
      <c r="BD147" s="31">
        <v>0</v>
      </c>
    </row>
    <row r="148" spans="1:56" x14ac:dyDescent="0.3">
      <c r="A148" s="43"/>
      <c r="B148" s="43"/>
      <c r="C148" s="14" t="s">
        <v>279</v>
      </c>
      <c r="D148" s="3" t="s">
        <v>71</v>
      </c>
      <c r="E148" s="3" t="s">
        <v>284</v>
      </c>
      <c r="F148" s="3" t="s">
        <v>73</v>
      </c>
      <c r="G148" s="29">
        <v>6350568.0441190004</v>
      </c>
      <c r="H148" s="29">
        <v>3823004.2897490002</v>
      </c>
      <c r="I148" s="29">
        <v>1093100.446522</v>
      </c>
      <c r="J148" s="29">
        <v>1093100.446522</v>
      </c>
      <c r="K148" s="29">
        <v>1093100.446522</v>
      </c>
      <c r="L148" s="30">
        <v>51677202.780842997</v>
      </c>
      <c r="M148" s="30">
        <v>25902335.419794001</v>
      </c>
      <c r="N148" s="30">
        <v>25031572.613662001</v>
      </c>
      <c r="O148" s="30">
        <v>16454692.438932</v>
      </c>
      <c r="P148" s="30">
        <v>16454692.438899999</v>
      </c>
      <c r="Q148" s="31">
        <v>7101285.3705700003</v>
      </c>
      <c r="R148" s="31">
        <v>4297404.4946180005</v>
      </c>
      <c r="S148" s="31">
        <v>4059798.9602290001</v>
      </c>
      <c r="T148" s="31">
        <v>1146598.0134429999</v>
      </c>
      <c r="U148" s="29">
        <v>5961921.9898490002</v>
      </c>
      <c r="V148" s="29">
        <v>2436386.379251</v>
      </c>
      <c r="W148" s="29">
        <v>311803.164965</v>
      </c>
      <c r="X148" s="29">
        <v>311803.164965</v>
      </c>
      <c r="Y148" s="30">
        <v>17111431.706516001</v>
      </c>
      <c r="Z148" s="30">
        <v>18193061.247267999</v>
      </c>
      <c r="AA148" s="30">
        <v>17673294.85365</v>
      </c>
      <c r="AB148" s="30">
        <v>11542234.884023</v>
      </c>
      <c r="AC148" s="30">
        <v>11542234.884023</v>
      </c>
      <c r="AD148" s="31">
        <v>6697517.3147989996</v>
      </c>
      <c r="AE148" s="31">
        <v>2779721.1267510001</v>
      </c>
      <c r="AF148" s="31">
        <v>2623617.8583300002</v>
      </c>
      <c r="AG148" s="31">
        <v>239468.310302</v>
      </c>
      <c r="AH148" s="31">
        <v>239468.310302</v>
      </c>
      <c r="AI148" s="29">
        <v>5318859.5161990002</v>
      </c>
      <c r="AJ148" s="29">
        <v>4781932.9401770001</v>
      </c>
      <c r="AK148" s="30">
        <v>37404943.961843997</v>
      </c>
      <c r="AL148" s="30">
        <v>33704071.190817997</v>
      </c>
      <c r="AM148" s="30">
        <v>32504926.151907999</v>
      </c>
      <c r="AN148" s="31">
        <v>5985003.0013450002</v>
      </c>
      <c r="AO148" s="31">
        <v>5436710.6206550002</v>
      </c>
      <c r="AP148" s="31">
        <v>5101095.8415630003</v>
      </c>
      <c r="AQ148" s="31">
        <v>1387597.550578</v>
      </c>
      <c r="AR148" s="29">
        <v>976422.30356499995</v>
      </c>
      <c r="AS148" s="29">
        <v>0</v>
      </c>
      <c r="AT148" s="30">
        <v>11463238.988581</v>
      </c>
      <c r="AU148" s="30">
        <v>0</v>
      </c>
      <c r="AV148" s="31">
        <v>977376.99803799996</v>
      </c>
      <c r="AW148" s="31">
        <v>0</v>
      </c>
      <c r="AX148" s="31">
        <v>798478.50204499997</v>
      </c>
      <c r="AY148" s="29">
        <v>0</v>
      </c>
      <c r="AZ148" s="29">
        <v>0</v>
      </c>
      <c r="BA148" s="30">
        <v>16558671.380361</v>
      </c>
      <c r="BB148" s="30">
        <v>0</v>
      </c>
      <c r="BC148" s="31">
        <v>0</v>
      </c>
      <c r="BD148" s="31">
        <v>0</v>
      </c>
    </row>
    <row r="149" spans="1:56" x14ac:dyDescent="0.3">
      <c r="A149" s="43"/>
      <c r="B149" s="43"/>
      <c r="C149" s="14" t="s">
        <v>279</v>
      </c>
      <c r="D149" s="3" t="s">
        <v>74</v>
      </c>
      <c r="E149" s="3" t="s">
        <v>285</v>
      </c>
      <c r="F149" s="3" t="s">
        <v>76</v>
      </c>
      <c r="G149" s="29">
        <v>102994.66718800001</v>
      </c>
      <c r="H149" s="29">
        <v>62002.178662999999</v>
      </c>
      <c r="I149" s="29">
        <v>17728.101787</v>
      </c>
      <c r="J149" s="29">
        <v>17728.101787</v>
      </c>
      <c r="K149" s="29">
        <v>17728.101787</v>
      </c>
      <c r="L149" s="30">
        <v>838110.27055500005</v>
      </c>
      <c r="M149" s="30">
        <v>420088.78535399999</v>
      </c>
      <c r="N149" s="30">
        <v>405966.59584299999</v>
      </c>
      <c r="O149" s="30">
        <v>266865.19373699999</v>
      </c>
      <c r="P149" s="30">
        <v>266865.1937</v>
      </c>
      <c r="Q149" s="31">
        <v>115169.93728300001</v>
      </c>
      <c r="R149" s="31">
        <v>69696.087440000003</v>
      </c>
      <c r="S149" s="31">
        <v>65842.557681999999</v>
      </c>
      <c r="T149" s="31">
        <v>18595.735054000001</v>
      </c>
      <c r="U149" s="29">
        <v>96691.534817000007</v>
      </c>
      <c r="V149" s="29">
        <v>39513.757277999997</v>
      </c>
      <c r="W149" s="29">
        <v>5056.8804209999998</v>
      </c>
      <c r="X149" s="29">
        <v>5056.8804209999998</v>
      </c>
      <c r="Y149" s="30">
        <v>277516.31058599998</v>
      </c>
      <c r="Z149" s="30">
        <v>295058.375138</v>
      </c>
      <c r="AA149" s="30">
        <v>286628.709263</v>
      </c>
      <c r="AB149" s="30">
        <v>187194.063937</v>
      </c>
      <c r="AC149" s="30">
        <v>187194.063937</v>
      </c>
      <c r="AD149" s="31">
        <v>108621.55354199999</v>
      </c>
      <c r="AE149" s="31">
        <v>45082.022637000002</v>
      </c>
      <c r="AF149" s="31">
        <v>42550.311448</v>
      </c>
      <c r="AG149" s="31">
        <v>3883.7405960000001</v>
      </c>
      <c r="AH149" s="31">
        <v>3883.7405960000001</v>
      </c>
      <c r="AI149" s="29">
        <v>86262.230699000007</v>
      </c>
      <c r="AJ149" s="29">
        <v>77554.257866</v>
      </c>
      <c r="AK149" s="30">
        <v>606640.182072</v>
      </c>
      <c r="AL149" s="30">
        <v>546618.754586</v>
      </c>
      <c r="AM149" s="30">
        <v>527170.802318</v>
      </c>
      <c r="AN149" s="31">
        <v>97065.866857999994</v>
      </c>
      <c r="AO149" s="31">
        <v>88173.561339000007</v>
      </c>
      <c r="AP149" s="31">
        <v>82730.499830000001</v>
      </c>
      <c r="AQ149" s="31">
        <v>22504.309366000001</v>
      </c>
      <c r="AR149" s="29">
        <v>15835.794451</v>
      </c>
      <c r="AS149" s="29">
        <v>0</v>
      </c>
      <c r="AT149" s="30">
        <v>185912.894142</v>
      </c>
      <c r="AU149" s="30">
        <v>0</v>
      </c>
      <c r="AV149" s="31">
        <v>15851.277859</v>
      </c>
      <c r="AW149" s="31">
        <v>0</v>
      </c>
      <c r="AX149" s="31">
        <v>12949.869524</v>
      </c>
      <c r="AY149" s="29">
        <v>0</v>
      </c>
      <c r="AZ149" s="29">
        <v>0</v>
      </c>
      <c r="BA149" s="30">
        <v>268551.543114</v>
      </c>
      <c r="BB149" s="30">
        <v>0</v>
      </c>
      <c r="BC149" s="31">
        <v>0</v>
      </c>
      <c r="BD149" s="31">
        <v>0</v>
      </c>
    </row>
    <row r="150" spans="1:56" x14ac:dyDescent="0.3">
      <c r="A150" s="43"/>
      <c r="B150" s="43"/>
      <c r="C150" s="14" t="s">
        <v>279</v>
      </c>
      <c r="D150" s="3" t="s">
        <v>162</v>
      </c>
      <c r="E150" s="3" t="s">
        <v>286</v>
      </c>
      <c r="F150" s="3" t="s">
        <v>76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1">
        <v>0</v>
      </c>
      <c r="R150" s="31">
        <v>0</v>
      </c>
      <c r="S150" s="31">
        <v>0</v>
      </c>
      <c r="T150" s="31">
        <v>0</v>
      </c>
      <c r="U150" s="29">
        <v>0</v>
      </c>
      <c r="V150" s="29">
        <v>0</v>
      </c>
      <c r="W150" s="29">
        <v>0</v>
      </c>
      <c r="X150" s="29">
        <v>0</v>
      </c>
      <c r="Y150" s="30">
        <v>0</v>
      </c>
      <c r="Z150" s="30">
        <v>0</v>
      </c>
      <c r="AA150" s="30">
        <v>0</v>
      </c>
      <c r="AB150" s="30">
        <v>0</v>
      </c>
      <c r="AC150" s="30">
        <v>0</v>
      </c>
      <c r="AD150" s="31">
        <v>0</v>
      </c>
      <c r="AE150" s="31">
        <v>0</v>
      </c>
      <c r="AF150" s="31">
        <v>0</v>
      </c>
      <c r="AG150" s="31">
        <v>0</v>
      </c>
      <c r="AH150" s="31">
        <v>0</v>
      </c>
      <c r="AI150" s="29">
        <v>0</v>
      </c>
      <c r="AJ150" s="29">
        <v>0</v>
      </c>
      <c r="AK150" s="30">
        <v>0</v>
      </c>
      <c r="AL150" s="30">
        <v>0</v>
      </c>
      <c r="AM150" s="30">
        <v>0</v>
      </c>
      <c r="AN150" s="31">
        <v>0</v>
      </c>
      <c r="AO150" s="31">
        <v>0</v>
      </c>
      <c r="AP150" s="31">
        <v>0</v>
      </c>
      <c r="AQ150" s="31">
        <v>0</v>
      </c>
      <c r="AR150" s="29">
        <v>0</v>
      </c>
      <c r="AS150" s="29">
        <v>0</v>
      </c>
      <c r="AT150" s="30">
        <v>0</v>
      </c>
      <c r="AU150" s="30">
        <v>0</v>
      </c>
      <c r="AV150" s="31">
        <v>0</v>
      </c>
      <c r="AW150" s="31">
        <v>0</v>
      </c>
      <c r="AX150" s="31">
        <v>0</v>
      </c>
      <c r="AY150" s="29">
        <v>0</v>
      </c>
      <c r="AZ150" s="29">
        <v>0</v>
      </c>
      <c r="BA150" s="30">
        <v>0</v>
      </c>
      <c r="BB150" s="30">
        <v>0</v>
      </c>
      <c r="BC150" s="31">
        <v>0</v>
      </c>
      <c r="BD150" s="31">
        <v>0</v>
      </c>
    </row>
    <row r="151" spans="1:56" x14ac:dyDescent="0.3">
      <c r="A151" s="43"/>
      <c r="B151" s="43"/>
      <c r="C151" s="14" t="s">
        <v>279</v>
      </c>
      <c r="D151" s="3" t="s">
        <v>77</v>
      </c>
      <c r="E151" s="3" t="s">
        <v>287</v>
      </c>
      <c r="F151" s="3" t="s">
        <v>76</v>
      </c>
      <c r="G151" s="29">
        <v>468820.77337299997</v>
      </c>
      <c r="H151" s="29">
        <v>282227.32443400001</v>
      </c>
      <c r="I151" s="29">
        <v>80696.434263999996</v>
      </c>
      <c r="J151" s="29">
        <v>80696.434263999996</v>
      </c>
      <c r="K151" s="29">
        <v>80696.434263999996</v>
      </c>
      <c r="L151" s="30">
        <v>3814988.8333069999</v>
      </c>
      <c r="M151" s="30">
        <v>1912199.4818909999</v>
      </c>
      <c r="N151" s="30">
        <v>1847916.7768860001</v>
      </c>
      <c r="O151" s="30">
        <v>1214741.98548</v>
      </c>
      <c r="P151" s="30">
        <v>1214741.9855</v>
      </c>
      <c r="Q151" s="31">
        <v>524241.30821799999</v>
      </c>
      <c r="R151" s="31">
        <v>317249.179076</v>
      </c>
      <c r="S151" s="31">
        <v>299708.32137399999</v>
      </c>
      <c r="T151" s="31">
        <v>84645.808638999995</v>
      </c>
      <c r="U151" s="29">
        <v>440129.58504699997</v>
      </c>
      <c r="V151" s="29">
        <v>179862.421538</v>
      </c>
      <c r="W151" s="29">
        <v>23018.381966000001</v>
      </c>
      <c r="X151" s="29">
        <v>23018.381966000001</v>
      </c>
      <c r="Y151" s="30">
        <v>1263224.736817</v>
      </c>
      <c r="Z151" s="30">
        <v>1343074.3493669999</v>
      </c>
      <c r="AA151" s="30">
        <v>1304703.406652</v>
      </c>
      <c r="AB151" s="30">
        <v>852087.47425199999</v>
      </c>
      <c r="AC151" s="30">
        <v>852087.47425199999</v>
      </c>
      <c r="AD151" s="31">
        <v>494433.761734</v>
      </c>
      <c r="AE151" s="31">
        <v>205208.573367</v>
      </c>
      <c r="AF151" s="31">
        <v>193684.493235</v>
      </c>
      <c r="AG151" s="31">
        <v>17678.374226</v>
      </c>
      <c r="AH151" s="31">
        <v>17678.374226</v>
      </c>
      <c r="AI151" s="29">
        <v>392656.501674</v>
      </c>
      <c r="AJ151" s="29">
        <v>353018.73527800001</v>
      </c>
      <c r="AK151" s="30">
        <v>2761361.6032989998</v>
      </c>
      <c r="AL151" s="30">
        <v>2488150.4476020001</v>
      </c>
      <c r="AM151" s="30">
        <v>2399625.436828</v>
      </c>
      <c r="AN151" s="31">
        <v>441833.504694</v>
      </c>
      <c r="AO151" s="31">
        <v>401356.67550900002</v>
      </c>
      <c r="AP151" s="31">
        <v>376580.43829700002</v>
      </c>
      <c r="AQ151" s="31">
        <v>102437.223296</v>
      </c>
      <c r="AR151" s="29">
        <v>77839.907279000006</v>
      </c>
      <c r="AS151" s="29">
        <v>0</v>
      </c>
      <c r="AT151" s="30">
        <v>913843.79149900004</v>
      </c>
      <c r="AU151" s="30">
        <v>0</v>
      </c>
      <c r="AV151" s="31">
        <v>77916.015054999996</v>
      </c>
      <c r="AW151" s="31">
        <v>0</v>
      </c>
      <c r="AX151" s="31">
        <v>58946.429083000003</v>
      </c>
      <c r="AY151" s="29">
        <v>0</v>
      </c>
      <c r="AZ151" s="29">
        <v>0</v>
      </c>
      <c r="BA151" s="30">
        <v>1577782.0904900001</v>
      </c>
      <c r="BB151" s="30">
        <v>0</v>
      </c>
      <c r="BC151" s="31">
        <v>0</v>
      </c>
      <c r="BD151" s="31">
        <v>0</v>
      </c>
    </row>
    <row r="152" spans="1:56" x14ac:dyDescent="0.3">
      <c r="A152" s="43"/>
      <c r="B152" s="43"/>
      <c r="C152" s="14" t="s">
        <v>279</v>
      </c>
      <c r="D152" s="3" t="s">
        <v>79</v>
      </c>
      <c r="E152" s="3" t="s">
        <v>288</v>
      </c>
      <c r="F152" s="3" t="s">
        <v>73</v>
      </c>
      <c r="G152" s="29">
        <v>11720519.334326001</v>
      </c>
      <c r="H152" s="29">
        <v>7055683.1108539999</v>
      </c>
      <c r="I152" s="29">
        <v>2017410.8566060001</v>
      </c>
      <c r="J152" s="29">
        <v>2017410.8566060001</v>
      </c>
      <c r="K152" s="29">
        <v>2017410.8566060001</v>
      </c>
      <c r="L152" s="30">
        <v>95374720.832682997</v>
      </c>
      <c r="M152" s="30">
        <v>47804987.047270998</v>
      </c>
      <c r="N152" s="30">
        <v>46197919.422141001</v>
      </c>
      <c r="O152" s="30">
        <v>30368549.63699</v>
      </c>
      <c r="P152" s="30">
        <v>30368549.636999998</v>
      </c>
      <c r="Q152" s="31">
        <v>13106032.705438999</v>
      </c>
      <c r="R152" s="31">
        <v>7931229.4769029999</v>
      </c>
      <c r="S152" s="31">
        <v>7492708.0343490001</v>
      </c>
      <c r="T152" s="31">
        <v>2116145.215971</v>
      </c>
      <c r="U152" s="29">
        <v>11003239.626174999</v>
      </c>
      <c r="V152" s="29">
        <v>4496560.5384459998</v>
      </c>
      <c r="W152" s="29">
        <v>575459.54914300004</v>
      </c>
      <c r="X152" s="29">
        <v>575459.54914300004</v>
      </c>
      <c r="Y152" s="30">
        <v>31580618.420421001</v>
      </c>
      <c r="Z152" s="30">
        <v>33576858.734182999</v>
      </c>
      <c r="AA152" s="30">
        <v>32617585.166306</v>
      </c>
      <c r="AB152" s="30">
        <v>21302186.856309999</v>
      </c>
      <c r="AC152" s="30">
        <v>21302186.856309999</v>
      </c>
      <c r="AD152" s="31">
        <v>12360844.043359</v>
      </c>
      <c r="AE152" s="31">
        <v>5130214.334179</v>
      </c>
      <c r="AF152" s="31">
        <v>4842112.3308680002</v>
      </c>
      <c r="AG152" s="31">
        <v>441959.35566100001</v>
      </c>
      <c r="AH152" s="31">
        <v>441959.35566100001</v>
      </c>
      <c r="AI152" s="29">
        <v>9816412.5418539997</v>
      </c>
      <c r="AJ152" s="29">
        <v>8825468.3819510005</v>
      </c>
      <c r="AK152" s="30">
        <v>69034040.082478002</v>
      </c>
      <c r="AL152" s="30">
        <v>62203761.190045998</v>
      </c>
      <c r="AM152" s="30">
        <v>59990635.920689002</v>
      </c>
      <c r="AN152" s="31">
        <v>11045837.617350999</v>
      </c>
      <c r="AO152" s="31">
        <v>10033916.887723999</v>
      </c>
      <c r="AP152" s="31">
        <v>9414510.9574340004</v>
      </c>
      <c r="AQ152" s="31">
        <v>2560930.582403</v>
      </c>
      <c r="AR152" s="29">
        <v>1945997.6819869999</v>
      </c>
      <c r="AS152" s="29">
        <v>0</v>
      </c>
      <c r="AT152" s="30">
        <v>22846094.787464999</v>
      </c>
      <c r="AU152" s="30">
        <v>0</v>
      </c>
      <c r="AV152" s="31">
        <v>1947900.3763689999</v>
      </c>
      <c r="AW152" s="31">
        <v>0</v>
      </c>
      <c r="AX152" s="31">
        <v>1473660.7270800001</v>
      </c>
      <c r="AY152" s="29">
        <v>0</v>
      </c>
      <c r="AZ152" s="29">
        <v>0</v>
      </c>
      <c r="BA152" s="30">
        <v>39444552.262249999</v>
      </c>
      <c r="BB152" s="30">
        <v>0</v>
      </c>
      <c r="BC152" s="31">
        <v>0</v>
      </c>
      <c r="BD152" s="31">
        <v>0</v>
      </c>
    </row>
    <row r="153" spans="1:56" x14ac:dyDescent="0.3">
      <c r="A153" s="43"/>
      <c r="B153" s="43"/>
      <c r="C153" s="14" t="s">
        <v>279</v>
      </c>
      <c r="D153" s="3" t="s">
        <v>81</v>
      </c>
      <c r="E153" s="3" t="s">
        <v>289</v>
      </c>
      <c r="F153" s="3" t="s">
        <v>76</v>
      </c>
      <c r="G153" s="29">
        <v>571815.44056100002</v>
      </c>
      <c r="H153" s="29">
        <v>344229.50309700001</v>
      </c>
      <c r="I153" s="29">
        <v>98424.536051000003</v>
      </c>
      <c r="J153" s="29">
        <v>98424.536051000003</v>
      </c>
      <c r="K153" s="29">
        <v>98424.536051000003</v>
      </c>
      <c r="L153" s="30">
        <v>4653099.1038619997</v>
      </c>
      <c r="M153" s="30">
        <v>2332288.2672450002</v>
      </c>
      <c r="N153" s="30">
        <v>2253883.3727290002</v>
      </c>
      <c r="O153" s="30">
        <v>1481607.179216</v>
      </c>
      <c r="P153" s="30">
        <v>1481607.1791999999</v>
      </c>
      <c r="Q153" s="31">
        <v>639411.24549999996</v>
      </c>
      <c r="R153" s="31">
        <v>386945.26651599997</v>
      </c>
      <c r="S153" s="31">
        <v>365550.87905599998</v>
      </c>
      <c r="T153" s="31">
        <v>103241.543693</v>
      </c>
      <c r="U153" s="29">
        <v>536821.11986400001</v>
      </c>
      <c r="V153" s="29">
        <v>219376.178816</v>
      </c>
      <c r="W153" s="29">
        <v>28075.262386999999</v>
      </c>
      <c r="X153" s="29">
        <v>28075.262386999999</v>
      </c>
      <c r="Y153" s="30">
        <v>1540741.0474030001</v>
      </c>
      <c r="Z153" s="30">
        <v>1638132.724505</v>
      </c>
      <c r="AA153" s="30">
        <v>1591332.115915</v>
      </c>
      <c r="AB153" s="30">
        <v>1039281.53819</v>
      </c>
      <c r="AC153" s="30">
        <v>1039281.53819</v>
      </c>
      <c r="AD153" s="31">
        <v>603055.31527599995</v>
      </c>
      <c r="AE153" s="31">
        <v>250290.596005</v>
      </c>
      <c r="AF153" s="31">
        <v>236234.80468299999</v>
      </c>
      <c r="AG153" s="31">
        <v>21562.114823</v>
      </c>
      <c r="AH153" s="31">
        <v>21562.114823</v>
      </c>
      <c r="AI153" s="29">
        <v>478918.73237300001</v>
      </c>
      <c r="AJ153" s="29">
        <v>430572.99314400001</v>
      </c>
      <c r="AK153" s="30">
        <v>3368001.7853709999</v>
      </c>
      <c r="AL153" s="30">
        <v>3034769.2021869998</v>
      </c>
      <c r="AM153" s="30">
        <v>2926796.2391459998</v>
      </c>
      <c r="AN153" s="31">
        <v>538899.37155200006</v>
      </c>
      <c r="AO153" s="31">
        <v>489530.23684799997</v>
      </c>
      <c r="AP153" s="31">
        <v>459310.93812800001</v>
      </c>
      <c r="AQ153" s="31">
        <v>124941.532662</v>
      </c>
      <c r="AR153" s="29">
        <v>93675.701730000001</v>
      </c>
      <c r="AS153" s="29">
        <v>0</v>
      </c>
      <c r="AT153" s="30">
        <v>1099756.685641</v>
      </c>
      <c r="AU153" s="30">
        <v>0</v>
      </c>
      <c r="AV153" s="31">
        <v>93767.292914000005</v>
      </c>
      <c r="AW153" s="31">
        <v>0</v>
      </c>
      <c r="AX153" s="31">
        <v>71896.298607000004</v>
      </c>
      <c r="AY153" s="29">
        <v>0</v>
      </c>
      <c r="AZ153" s="29">
        <v>0</v>
      </c>
      <c r="BA153" s="30">
        <v>1846333.6336040001</v>
      </c>
      <c r="BB153" s="30">
        <v>0</v>
      </c>
      <c r="BC153" s="31">
        <v>0</v>
      </c>
      <c r="BD153" s="31">
        <v>0</v>
      </c>
    </row>
    <row r="154" spans="1:56" x14ac:dyDescent="0.3">
      <c r="A154" s="43"/>
      <c r="B154" s="44"/>
      <c r="C154" s="14"/>
      <c r="G154" s="32"/>
      <c r="H154" s="32"/>
      <c r="I154" s="32"/>
      <c r="J154" s="32"/>
      <c r="K154" s="32"/>
      <c r="L154" s="33"/>
      <c r="M154" s="33"/>
      <c r="N154" s="33"/>
      <c r="O154" s="33"/>
      <c r="P154" s="33"/>
      <c r="Q154" s="34"/>
      <c r="R154" s="34"/>
      <c r="S154" s="34"/>
      <c r="T154" s="34"/>
      <c r="U154" s="32"/>
      <c r="V154" s="32"/>
      <c r="W154" s="32"/>
      <c r="X154" s="32"/>
      <c r="Y154" s="33"/>
      <c r="Z154" s="33"/>
      <c r="AA154" s="33"/>
      <c r="AB154" s="33"/>
      <c r="AC154" s="33"/>
      <c r="AD154" s="34"/>
      <c r="AE154" s="34"/>
      <c r="AF154" s="34"/>
      <c r="AG154" s="34"/>
      <c r="AH154" s="34"/>
      <c r="AI154" s="32"/>
      <c r="AJ154" s="32"/>
      <c r="AK154" s="33"/>
      <c r="AL154" s="33"/>
      <c r="AM154" s="33"/>
      <c r="AN154" s="34"/>
      <c r="AO154" s="34"/>
      <c r="AP154" s="34"/>
      <c r="AQ154" s="34"/>
      <c r="AR154" s="32"/>
      <c r="AS154" s="32"/>
      <c r="AT154" s="33"/>
      <c r="AU154" s="33"/>
      <c r="AV154" s="34"/>
      <c r="AW154" s="34"/>
      <c r="AX154" s="34"/>
      <c r="AY154" s="32"/>
      <c r="AZ154" s="32"/>
      <c r="BA154" s="33"/>
      <c r="BB154" s="33"/>
      <c r="BC154" s="34"/>
      <c r="BD154" s="34"/>
    </row>
    <row r="155" spans="1:56" ht="15" thickBot="1" x14ac:dyDescent="0.35">
      <c r="A155" s="43"/>
      <c r="B155" s="50" t="s">
        <v>290</v>
      </c>
      <c r="C155" s="13" t="s">
        <v>291</v>
      </c>
      <c r="D155" s="6" t="s">
        <v>59</v>
      </c>
      <c r="E155" s="6" t="s">
        <v>292</v>
      </c>
      <c r="F155" s="6" t="s">
        <v>61</v>
      </c>
      <c r="G155" s="29">
        <v>82.886015999999998</v>
      </c>
      <c r="H155" s="29">
        <v>82.886015999999998</v>
      </c>
      <c r="I155" s="29">
        <v>82.886015999999998</v>
      </c>
      <c r="J155" s="29">
        <v>82.886015999999998</v>
      </c>
      <c r="K155" s="29">
        <v>82.886015999999998</v>
      </c>
      <c r="L155" s="30">
        <v>82.886015999999998</v>
      </c>
      <c r="M155" s="30">
        <v>82.886015999999998</v>
      </c>
      <c r="N155" s="30">
        <v>82.886015999999998</v>
      </c>
      <c r="O155" s="30">
        <v>82.886015999999998</v>
      </c>
      <c r="P155" s="30">
        <v>82.885999999999996</v>
      </c>
      <c r="Q155" s="31">
        <v>82.886015999999998</v>
      </c>
      <c r="R155" s="31">
        <v>82.886015999999998</v>
      </c>
      <c r="S155" s="31">
        <v>82.886015999999998</v>
      </c>
      <c r="T155" s="31">
        <v>82.886015999999998</v>
      </c>
      <c r="U155" s="29">
        <v>82.886015999999998</v>
      </c>
      <c r="V155" s="29">
        <v>82.886015999999998</v>
      </c>
      <c r="W155" s="29">
        <v>82.886015999999998</v>
      </c>
      <c r="X155" s="29">
        <v>82.886015999999998</v>
      </c>
      <c r="Y155" s="30">
        <v>82.886015999999998</v>
      </c>
      <c r="Z155" s="30">
        <v>82.886015999999998</v>
      </c>
      <c r="AA155" s="30">
        <v>82.886015999999998</v>
      </c>
      <c r="AB155" s="30">
        <v>82.886015999999998</v>
      </c>
      <c r="AC155" s="30">
        <v>82.886015999999998</v>
      </c>
      <c r="AD155" s="31">
        <v>82.886015999999998</v>
      </c>
      <c r="AE155" s="31">
        <v>82.886015999999998</v>
      </c>
      <c r="AF155" s="31">
        <v>82.886015999999998</v>
      </c>
      <c r="AG155" s="31">
        <v>82.886015999999998</v>
      </c>
      <c r="AH155" s="31">
        <v>82.886015999999998</v>
      </c>
      <c r="AI155" s="29">
        <v>82.886015999999998</v>
      </c>
      <c r="AJ155" s="29">
        <v>82.886015999999998</v>
      </c>
      <c r="AK155" s="30">
        <v>82.886015999999998</v>
      </c>
      <c r="AL155" s="30">
        <v>82.886015999999998</v>
      </c>
      <c r="AM155" s="30">
        <v>82.886015999999998</v>
      </c>
      <c r="AN155" s="31">
        <v>82.886015999999998</v>
      </c>
      <c r="AO155" s="31">
        <v>82.886015999999998</v>
      </c>
      <c r="AP155" s="31">
        <v>82.886015999999998</v>
      </c>
      <c r="AQ155" s="31">
        <v>82.886015999999998</v>
      </c>
      <c r="AR155" s="29">
        <v>89.360763000000006</v>
      </c>
      <c r="AS155" s="29">
        <v>89.360763000000006</v>
      </c>
      <c r="AT155" s="30">
        <v>89.360763000000006</v>
      </c>
      <c r="AU155" s="30">
        <v>89.360763000000006</v>
      </c>
      <c r="AV155" s="31">
        <v>89.360763000000006</v>
      </c>
      <c r="AW155" s="31">
        <v>89.360763000000006</v>
      </c>
      <c r="AX155" s="31">
        <v>82.886015999999998</v>
      </c>
      <c r="AY155" s="29">
        <v>106.40782400000001</v>
      </c>
      <c r="AZ155" s="29">
        <v>106.40782400000001</v>
      </c>
      <c r="BA155" s="30">
        <v>106.40782400000001</v>
      </c>
      <c r="BB155" s="30">
        <v>106.40782400000001</v>
      </c>
      <c r="BC155" s="31">
        <v>106.40782400000001</v>
      </c>
      <c r="BD155" s="31">
        <v>106.40782400000001</v>
      </c>
    </row>
    <row r="156" spans="1:56" x14ac:dyDescent="0.3">
      <c r="A156" s="43"/>
      <c r="B156" s="43"/>
      <c r="C156" s="14" t="s">
        <v>291</v>
      </c>
      <c r="D156" s="3" t="s">
        <v>293</v>
      </c>
      <c r="E156" s="3" t="s">
        <v>294</v>
      </c>
      <c r="F156" s="3" t="s">
        <v>64</v>
      </c>
      <c r="G156" s="29">
        <v>11825.413354</v>
      </c>
      <c r="H156" s="29">
        <v>10504.816624999999</v>
      </c>
      <c r="I156" s="29">
        <v>7500.2779559999999</v>
      </c>
      <c r="J156" s="29">
        <v>7500.2779559999999</v>
      </c>
      <c r="K156" s="29">
        <v>7500.2779559999999</v>
      </c>
      <c r="L156" s="30">
        <v>86142.944063999996</v>
      </c>
      <c r="M156" s="30">
        <v>70504.772773000004</v>
      </c>
      <c r="N156" s="30">
        <v>68226.619223000002</v>
      </c>
      <c r="O156" s="30">
        <v>52784.175584999997</v>
      </c>
      <c r="P156" s="30">
        <v>52784.175600000002</v>
      </c>
      <c r="Q156" s="31">
        <v>13333.700808</v>
      </c>
      <c r="R156" s="31">
        <v>11799.117942000001</v>
      </c>
      <c r="S156" s="31">
        <v>11128.295477</v>
      </c>
      <c r="T156" s="31">
        <v>7991.4407000000001</v>
      </c>
      <c r="U156" s="29">
        <v>10999.239373</v>
      </c>
      <c r="V156" s="29">
        <v>10189.532080999999</v>
      </c>
      <c r="W156" s="29">
        <v>7204.8056710000001</v>
      </c>
      <c r="X156" s="29">
        <v>7204.8056710000001</v>
      </c>
      <c r="Y156" s="30">
        <v>114387.34960099999</v>
      </c>
      <c r="Z156" s="30">
        <v>67688.126090000005</v>
      </c>
      <c r="AA156" s="30">
        <v>65405.090436999999</v>
      </c>
      <c r="AB156" s="30">
        <v>50484.132446000003</v>
      </c>
      <c r="AC156" s="30">
        <v>50484.132446000003</v>
      </c>
      <c r="AD156" s="31">
        <v>12398.277443000001</v>
      </c>
      <c r="AE156" s="31">
        <v>11445.814297000001</v>
      </c>
      <c r="AF156" s="31">
        <v>10785.750005</v>
      </c>
      <c r="AG156" s="31">
        <v>7693.1936919999998</v>
      </c>
      <c r="AH156" s="31">
        <v>7693.1936919999998</v>
      </c>
      <c r="AI156" s="29">
        <v>15171.140058999999</v>
      </c>
      <c r="AJ156" s="29">
        <v>10148.750357999999</v>
      </c>
      <c r="AK156" s="30">
        <v>104715.835561</v>
      </c>
      <c r="AL156" s="30">
        <v>69259.312957999995</v>
      </c>
      <c r="AM156" s="30">
        <v>67061.961567999999</v>
      </c>
      <c r="AN156" s="31">
        <v>17106.162499999999</v>
      </c>
      <c r="AO156" s="31">
        <v>11381.270774000001</v>
      </c>
      <c r="AP156" s="31">
        <v>10725.916272</v>
      </c>
      <c r="AQ156" s="31">
        <v>7398.6489609999999</v>
      </c>
      <c r="AR156" s="29">
        <v>5929.1436240000003</v>
      </c>
      <c r="AS156" s="29">
        <v>4678.5994479999999</v>
      </c>
      <c r="AT156" s="30">
        <v>51546.328601000001</v>
      </c>
      <c r="AU156" s="30">
        <v>32034.103662000001</v>
      </c>
      <c r="AV156" s="31">
        <v>6678.516979</v>
      </c>
      <c r="AW156" s="31">
        <v>5256.8634910000001</v>
      </c>
      <c r="AX156" s="31">
        <v>6297.6496539999998</v>
      </c>
      <c r="AY156" s="29">
        <v>16811.263308000001</v>
      </c>
      <c r="AZ156" s="29">
        <v>4705.1190800000004</v>
      </c>
      <c r="BA156" s="30">
        <v>116036.466432</v>
      </c>
      <c r="BB156" s="30">
        <v>32476.166852999999</v>
      </c>
      <c r="BC156" s="31">
        <v>18955.477364999999</v>
      </c>
      <c r="BD156" s="31">
        <v>5305.2395049999996</v>
      </c>
    </row>
    <row r="157" spans="1:56" x14ac:dyDescent="0.3">
      <c r="A157" s="43"/>
      <c r="B157" s="43"/>
      <c r="C157" s="14" t="s">
        <v>291</v>
      </c>
      <c r="D157" s="3" t="s">
        <v>295</v>
      </c>
      <c r="E157" s="3" t="s">
        <v>296</v>
      </c>
      <c r="F157" s="3" t="s">
        <v>67</v>
      </c>
      <c r="G157" s="29">
        <v>34524.554445000002</v>
      </c>
      <c r="H157" s="29">
        <v>30669.043244</v>
      </c>
      <c r="I157" s="29">
        <v>21897.226497</v>
      </c>
      <c r="J157" s="29">
        <v>21897.226497</v>
      </c>
      <c r="K157" s="29">
        <v>21897.226497</v>
      </c>
      <c r="L157" s="30">
        <v>251496.22033899999</v>
      </c>
      <c r="M157" s="30">
        <v>205840.23521700001</v>
      </c>
      <c r="N157" s="30">
        <v>199189.11580900001</v>
      </c>
      <c r="O157" s="30">
        <v>154104.56187199999</v>
      </c>
      <c r="P157" s="30">
        <v>154104.5619</v>
      </c>
      <c r="Q157" s="31">
        <v>38928.032850000003</v>
      </c>
      <c r="R157" s="31">
        <v>34447.784412000001</v>
      </c>
      <c r="S157" s="31">
        <v>32489.303468999999</v>
      </c>
      <c r="T157" s="31">
        <v>23331.186935000002</v>
      </c>
      <c r="U157" s="29">
        <v>37007.501830000001</v>
      </c>
      <c r="V157" s="29">
        <v>34283.200354000001</v>
      </c>
      <c r="W157" s="29">
        <v>24240.936124</v>
      </c>
      <c r="X157" s="29">
        <v>24240.936124</v>
      </c>
      <c r="Y157" s="30">
        <v>384862.07148899999</v>
      </c>
      <c r="Z157" s="30">
        <v>227740.152325</v>
      </c>
      <c r="AA157" s="30">
        <v>220058.762434</v>
      </c>
      <c r="AB157" s="30">
        <v>169856.43830400001</v>
      </c>
      <c r="AC157" s="30">
        <v>169856.43830400001</v>
      </c>
      <c r="AD157" s="31">
        <v>41714.636768999997</v>
      </c>
      <c r="AE157" s="31">
        <v>38510.02594</v>
      </c>
      <c r="AF157" s="31">
        <v>36289.205965000001</v>
      </c>
      <c r="AG157" s="31">
        <v>25884.142530000001</v>
      </c>
      <c r="AH157" s="31">
        <v>25884.142530000001</v>
      </c>
      <c r="AI157" s="29">
        <v>43592.359394999999</v>
      </c>
      <c r="AJ157" s="29">
        <v>29161.155412</v>
      </c>
      <c r="AK157" s="30">
        <v>300887.75928900001</v>
      </c>
      <c r="AL157" s="30">
        <v>199007.909113</v>
      </c>
      <c r="AM157" s="30">
        <v>192694.09675900001</v>
      </c>
      <c r="AN157" s="31">
        <v>49152.402566999997</v>
      </c>
      <c r="AO157" s="31">
        <v>32702.647529000002</v>
      </c>
      <c r="AP157" s="31">
        <v>30819.568942999998</v>
      </c>
      <c r="AQ157" s="31">
        <v>21259.085558999999</v>
      </c>
      <c r="AR157" s="29">
        <v>38756.712956000003</v>
      </c>
      <c r="AS157" s="29">
        <v>30582.34837</v>
      </c>
      <c r="AT157" s="30">
        <v>336940.10266199999</v>
      </c>
      <c r="AU157" s="30">
        <v>209395.59556399999</v>
      </c>
      <c r="AV157" s="31">
        <v>43655.101299000002</v>
      </c>
      <c r="AW157" s="31">
        <v>34362.255709999998</v>
      </c>
      <c r="AX157" s="31">
        <v>41165.506418999998</v>
      </c>
      <c r="AY157" s="29">
        <v>78637.054512000002</v>
      </c>
      <c r="AZ157" s="29">
        <v>22008.857918999998</v>
      </c>
      <c r="BA157" s="30">
        <v>542776.93287899997</v>
      </c>
      <c r="BB157" s="30">
        <v>151911.84959599999</v>
      </c>
      <c r="BC157" s="31">
        <v>88666.918095999994</v>
      </c>
      <c r="BD157" s="31">
        <v>24816.005820999999</v>
      </c>
    </row>
    <row r="158" spans="1:56" x14ac:dyDescent="0.3">
      <c r="A158" s="43"/>
      <c r="B158" s="43"/>
      <c r="C158" s="14" t="s">
        <v>291</v>
      </c>
      <c r="D158" s="3" t="s">
        <v>71</v>
      </c>
      <c r="E158" s="3" t="s">
        <v>297</v>
      </c>
      <c r="F158" s="3" t="s">
        <v>73</v>
      </c>
      <c r="G158" s="29">
        <v>12771446.421901001</v>
      </c>
      <c r="H158" s="29">
        <v>11345201.955390001</v>
      </c>
      <c r="I158" s="29">
        <v>8100300.1920180004</v>
      </c>
      <c r="J158" s="29">
        <v>8100300.1920180004</v>
      </c>
      <c r="K158" s="29">
        <v>8100300.1920180004</v>
      </c>
      <c r="L158" s="30">
        <v>93034379.588799998</v>
      </c>
      <c r="M158" s="30">
        <v>76145154.595152006</v>
      </c>
      <c r="N158" s="30">
        <v>73684748.761346996</v>
      </c>
      <c r="O158" s="30">
        <v>57006909.631844997</v>
      </c>
      <c r="P158" s="30">
        <v>57006909.631800003</v>
      </c>
      <c r="Q158" s="31">
        <v>14400396.872624001</v>
      </c>
      <c r="R158" s="31">
        <v>12743047.377428999</v>
      </c>
      <c r="S158" s="31">
        <v>12018559.115582</v>
      </c>
      <c r="T158" s="31">
        <v>8630755.9557349999</v>
      </c>
      <c r="U158" s="29">
        <v>11879178.522375001</v>
      </c>
      <c r="V158" s="29">
        <v>11004694.647992</v>
      </c>
      <c r="W158" s="29">
        <v>7781190.1243430004</v>
      </c>
      <c r="X158" s="29">
        <v>7781190.1243430004</v>
      </c>
      <c r="Y158" s="30">
        <v>123538337.569483</v>
      </c>
      <c r="Z158" s="30">
        <v>73103176.177480996</v>
      </c>
      <c r="AA158" s="30">
        <v>70637497.671745002</v>
      </c>
      <c r="AB158" s="30">
        <v>54522863.041207999</v>
      </c>
      <c r="AC158" s="30">
        <v>54522863.041207999</v>
      </c>
      <c r="AD158" s="31">
        <v>13390139.638318</v>
      </c>
      <c r="AE158" s="31">
        <v>12361479.441020001</v>
      </c>
      <c r="AF158" s="31">
        <v>11648610.005271001</v>
      </c>
      <c r="AG158" s="31">
        <v>8308649.1874310002</v>
      </c>
      <c r="AH158" s="31">
        <v>8308649.1874310002</v>
      </c>
      <c r="AI158" s="29">
        <v>16384831.263219999</v>
      </c>
      <c r="AJ158" s="29">
        <v>10960650.387135001</v>
      </c>
      <c r="AK158" s="30">
        <v>113093102.405854</v>
      </c>
      <c r="AL158" s="30">
        <v>74800057.995076999</v>
      </c>
      <c r="AM158" s="30">
        <v>72426918.493688002</v>
      </c>
      <c r="AN158" s="31">
        <v>18474655.5</v>
      </c>
      <c r="AO158" s="31">
        <v>12291772.435756</v>
      </c>
      <c r="AP158" s="31">
        <v>11583989.574025</v>
      </c>
      <c r="AQ158" s="31">
        <v>7990540.8775979998</v>
      </c>
      <c r="AR158" s="29">
        <v>6403475.1143779997</v>
      </c>
      <c r="AS158" s="29">
        <v>5052887.4042419996</v>
      </c>
      <c r="AT158" s="30">
        <v>55670034.888718002</v>
      </c>
      <c r="AU158" s="30">
        <v>34596831.954745002</v>
      </c>
      <c r="AV158" s="31">
        <v>7212798.3376930002</v>
      </c>
      <c r="AW158" s="31">
        <v>5677412.5700789997</v>
      </c>
      <c r="AX158" s="31">
        <v>6801461.6261029998</v>
      </c>
      <c r="AY158" s="29">
        <v>18156164.372756999</v>
      </c>
      <c r="AZ158" s="29">
        <v>5081528.6065959996</v>
      </c>
      <c r="BA158" s="30">
        <v>125319383.74702699</v>
      </c>
      <c r="BB158" s="30">
        <v>35074260.201513</v>
      </c>
      <c r="BC158" s="31">
        <v>20471915.554053999</v>
      </c>
      <c r="BD158" s="31">
        <v>5729658.6649019998</v>
      </c>
    </row>
    <row r="159" spans="1:56" x14ac:dyDescent="0.3">
      <c r="A159" s="43"/>
      <c r="B159" s="43"/>
      <c r="C159" s="14" t="s">
        <v>291</v>
      </c>
      <c r="D159" s="3" t="s">
        <v>74</v>
      </c>
      <c r="E159" s="3" t="s">
        <v>298</v>
      </c>
      <c r="F159" s="3" t="s">
        <v>76</v>
      </c>
      <c r="G159" s="29">
        <v>149946.241324</v>
      </c>
      <c r="H159" s="29">
        <v>133201.07480999999</v>
      </c>
      <c r="I159" s="29">
        <v>95103.524476999999</v>
      </c>
      <c r="J159" s="29">
        <v>95103.524476999999</v>
      </c>
      <c r="K159" s="29">
        <v>95103.524476999999</v>
      </c>
      <c r="L159" s="30">
        <v>1092292.530728</v>
      </c>
      <c r="M159" s="30">
        <v>894000.51876500004</v>
      </c>
      <c r="N159" s="30">
        <v>865113.531754</v>
      </c>
      <c r="O159" s="30">
        <v>669303.34641799994</v>
      </c>
      <c r="P159" s="30">
        <v>669303.34640000004</v>
      </c>
      <c r="Q159" s="31">
        <v>169071.326245</v>
      </c>
      <c r="R159" s="31">
        <v>149612.81550500001</v>
      </c>
      <c r="S159" s="31">
        <v>141106.78665299999</v>
      </c>
      <c r="T159" s="31">
        <v>101331.468073</v>
      </c>
      <c r="U159" s="29">
        <v>139470.35524400001</v>
      </c>
      <c r="V159" s="29">
        <v>129203.266793</v>
      </c>
      <c r="W159" s="29">
        <v>91356.935903999998</v>
      </c>
      <c r="X159" s="29">
        <v>91356.935903999998</v>
      </c>
      <c r="Y159" s="30">
        <v>1450431.5929449999</v>
      </c>
      <c r="Z159" s="30">
        <v>858285.43882499996</v>
      </c>
      <c r="AA159" s="30">
        <v>829336.54673900001</v>
      </c>
      <c r="AB159" s="30">
        <v>640138.79940999998</v>
      </c>
      <c r="AC159" s="30">
        <v>640138.79940999998</v>
      </c>
      <c r="AD159" s="31">
        <v>157210.15797599999</v>
      </c>
      <c r="AE159" s="31">
        <v>145132.92528900001</v>
      </c>
      <c r="AF159" s="31">
        <v>136763.310062</v>
      </c>
      <c r="AG159" s="31">
        <v>97549.696014999994</v>
      </c>
      <c r="AH159" s="31">
        <v>97549.696014999994</v>
      </c>
      <c r="AI159" s="29">
        <v>192370.05594200001</v>
      </c>
      <c r="AJ159" s="29">
        <v>128686.154545</v>
      </c>
      <c r="AK159" s="30">
        <v>1327796.794913</v>
      </c>
      <c r="AL159" s="30">
        <v>878208.08831300004</v>
      </c>
      <c r="AM159" s="30">
        <v>850345.672685</v>
      </c>
      <c r="AN159" s="31">
        <v>216906.14050000001</v>
      </c>
      <c r="AO159" s="31">
        <v>144314.513412</v>
      </c>
      <c r="AP159" s="31">
        <v>136004.61833200001</v>
      </c>
      <c r="AQ159" s="31">
        <v>93814.868822000004</v>
      </c>
      <c r="AR159" s="29">
        <v>75181.541158000007</v>
      </c>
      <c r="AS159" s="29">
        <v>59324.641004999998</v>
      </c>
      <c r="AT159" s="30">
        <v>653607.44665599999</v>
      </c>
      <c r="AU159" s="30">
        <v>406192.43443199998</v>
      </c>
      <c r="AV159" s="31">
        <v>84683.595298</v>
      </c>
      <c r="AW159" s="31">
        <v>66657.029064000002</v>
      </c>
      <c r="AX159" s="31">
        <v>79854.197610000003</v>
      </c>
      <c r="AY159" s="29">
        <v>213166.81874700001</v>
      </c>
      <c r="AZ159" s="29">
        <v>59660.909936999997</v>
      </c>
      <c r="BA159" s="30">
        <v>1471342.3943630001</v>
      </c>
      <c r="BB159" s="30">
        <v>411797.79569900001</v>
      </c>
      <c r="BC159" s="31">
        <v>240355.45298599999</v>
      </c>
      <c r="BD159" s="31">
        <v>67270.436918000007</v>
      </c>
    </row>
    <row r="160" spans="1:56" x14ac:dyDescent="0.3">
      <c r="A160" s="43"/>
      <c r="B160" s="43"/>
      <c r="C160" s="14" t="s">
        <v>291</v>
      </c>
      <c r="D160" s="3" t="s">
        <v>162</v>
      </c>
      <c r="E160" s="3" t="s">
        <v>299</v>
      </c>
      <c r="F160" s="3" t="s">
        <v>76</v>
      </c>
      <c r="G160" s="29">
        <v>172622.77222499999</v>
      </c>
      <c r="H160" s="29">
        <v>153345.21621899999</v>
      </c>
      <c r="I160" s="29">
        <v>109486.132487</v>
      </c>
      <c r="J160" s="29">
        <v>109486.132487</v>
      </c>
      <c r="K160" s="29">
        <v>109486.132487</v>
      </c>
      <c r="L160" s="30">
        <v>1257481.101694</v>
      </c>
      <c r="M160" s="30">
        <v>1029201.176083</v>
      </c>
      <c r="N160" s="30">
        <v>995945.57904300001</v>
      </c>
      <c r="O160" s="30">
        <v>770522.80936199997</v>
      </c>
      <c r="P160" s="30">
        <v>770522.80940000003</v>
      </c>
      <c r="Q160" s="31">
        <v>194640.16425199999</v>
      </c>
      <c r="R160" s="31">
        <v>172238.922062</v>
      </c>
      <c r="S160" s="31">
        <v>162446.51734399999</v>
      </c>
      <c r="T160" s="31">
        <v>116655.934673</v>
      </c>
      <c r="U160" s="29">
        <v>185037.50915100001</v>
      </c>
      <c r="V160" s="29">
        <v>171416.00177100001</v>
      </c>
      <c r="W160" s="29">
        <v>121204.68062100001</v>
      </c>
      <c r="X160" s="29">
        <v>121204.68062100001</v>
      </c>
      <c r="Y160" s="30">
        <v>1924310.357443</v>
      </c>
      <c r="Z160" s="30">
        <v>1138700.7616260001</v>
      </c>
      <c r="AA160" s="30">
        <v>1100293.8121710001</v>
      </c>
      <c r="AB160" s="30">
        <v>849282.19151899999</v>
      </c>
      <c r="AC160" s="30">
        <v>849282.19151899999</v>
      </c>
      <c r="AD160" s="31">
        <v>208573.18384400001</v>
      </c>
      <c r="AE160" s="31">
        <v>192550.129698</v>
      </c>
      <c r="AF160" s="31">
        <v>181446.02982299999</v>
      </c>
      <c r="AG160" s="31">
        <v>129420.71264899999</v>
      </c>
      <c r="AH160" s="31">
        <v>129420.71264899999</v>
      </c>
      <c r="AI160" s="29">
        <v>217961.79697299999</v>
      </c>
      <c r="AJ160" s="29">
        <v>145805.77706200001</v>
      </c>
      <c r="AK160" s="30">
        <v>1504438.796446</v>
      </c>
      <c r="AL160" s="30">
        <v>995039.54556300002</v>
      </c>
      <c r="AM160" s="30">
        <v>963470.48379600001</v>
      </c>
      <c r="AN160" s="31">
        <v>245762.01283600001</v>
      </c>
      <c r="AO160" s="31">
        <v>163513.237643</v>
      </c>
      <c r="AP160" s="31">
        <v>154097.84471400001</v>
      </c>
      <c r="AQ160" s="31">
        <v>106295.427795</v>
      </c>
      <c r="AR160" s="29">
        <v>193783.56477999999</v>
      </c>
      <c r="AS160" s="29">
        <v>152911.74184900001</v>
      </c>
      <c r="AT160" s="30">
        <v>1684700.5133110001</v>
      </c>
      <c r="AU160" s="30">
        <v>1046977.977822</v>
      </c>
      <c r="AV160" s="31">
        <v>218275.50649500001</v>
      </c>
      <c r="AW160" s="31">
        <v>171811.27854900001</v>
      </c>
      <c r="AX160" s="31">
        <v>205827.532095</v>
      </c>
      <c r="AY160" s="29">
        <v>393185.272559</v>
      </c>
      <c r="AZ160" s="29">
        <v>110044.289597</v>
      </c>
      <c r="BA160" s="30">
        <v>2713884.6643969999</v>
      </c>
      <c r="BB160" s="30">
        <v>759559.24797799997</v>
      </c>
      <c r="BC160" s="31">
        <v>443334.59048200003</v>
      </c>
      <c r="BD160" s="31">
        <v>124080.029106</v>
      </c>
    </row>
    <row r="161" spans="1:56" x14ac:dyDescent="0.3">
      <c r="A161" s="43"/>
      <c r="B161" s="43"/>
      <c r="C161" s="14" t="s">
        <v>291</v>
      </c>
      <c r="D161" s="3" t="s">
        <v>77</v>
      </c>
      <c r="E161" s="3" t="s">
        <v>300</v>
      </c>
      <c r="F161" s="3" t="s">
        <v>76</v>
      </c>
      <c r="G161" s="29">
        <v>980161.39833999996</v>
      </c>
      <c r="H161" s="29">
        <v>870702.39702699997</v>
      </c>
      <c r="I161" s="29">
        <v>621668.15730199998</v>
      </c>
      <c r="J161" s="29">
        <v>621668.15730199998</v>
      </c>
      <c r="K161" s="29">
        <v>621668.15730199998</v>
      </c>
      <c r="L161" s="30">
        <v>7140045.4246990001</v>
      </c>
      <c r="M161" s="30">
        <v>5843859.7116799997</v>
      </c>
      <c r="N161" s="30">
        <v>5655032.6405029995</v>
      </c>
      <c r="O161" s="30">
        <v>4375070.0127429999</v>
      </c>
      <c r="P161" s="30">
        <v>4375070.0126999998</v>
      </c>
      <c r="Q161" s="31">
        <v>1105177.3361490001</v>
      </c>
      <c r="R161" s="31">
        <v>977981.87644300004</v>
      </c>
      <c r="S161" s="31">
        <v>922380.075021</v>
      </c>
      <c r="T161" s="31">
        <v>662378.68028800003</v>
      </c>
      <c r="U161" s="29">
        <v>911683.12867500004</v>
      </c>
      <c r="V161" s="29">
        <v>844569.71733300004</v>
      </c>
      <c r="W161" s="29">
        <v>597177.63682200003</v>
      </c>
      <c r="X161" s="29">
        <v>597177.63682200003</v>
      </c>
      <c r="Y161" s="30">
        <v>9481111.6690040007</v>
      </c>
      <c r="Z161" s="30">
        <v>5610399.0901429998</v>
      </c>
      <c r="AA161" s="30">
        <v>5421167.3608459998</v>
      </c>
      <c r="AB161" s="30">
        <v>4184428.600691</v>
      </c>
      <c r="AC161" s="30">
        <v>4184428.600691</v>
      </c>
      <c r="AD161" s="31">
        <v>1027643.820308</v>
      </c>
      <c r="AE161" s="31">
        <v>948697.94494800002</v>
      </c>
      <c r="AF161" s="31">
        <v>893987.84556699998</v>
      </c>
      <c r="AG161" s="31">
        <v>637658.17408999999</v>
      </c>
      <c r="AH161" s="31">
        <v>637658.17408999999</v>
      </c>
      <c r="AI161" s="29">
        <v>1257475.354944</v>
      </c>
      <c r="AJ161" s="29">
        <v>841189.48279399995</v>
      </c>
      <c r="AK161" s="30">
        <v>8679478.4032199997</v>
      </c>
      <c r="AL161" s="30">
        <v>5740628.509757</v>
      </c>
      <c r="AM161" s="30">
        <v>5558498.8076619999</v>
      </c>
      <c r="AN161" s="31">
        <v>1417861.655645</v>
      </c>
      <c r="AO161" s="31">
        <v>943348.18944600003</v>
      </c>
      <c r="AP161" s="31">
        <v>889028.46585699997</v>
      </c>
      <c r="AQ161" s="31">
        <v>613244.534828</v>
      </c>
      <c r="AR161" s="29">
        <v>529832.79743899999</v>
      </c>
      <c r="AS161" s="29">
        <v>418083.21586599998</v>
      </c>
      <c r="AT161" s="30">
        <v>4606219.2468600003</v>
      </c>
      <c r="AU161" s="30">
        <v>2862591.9410489998</v>
      </c>
      <c r="AV161" s="31">
        <v>596797.37210899999</v>
      </c>
      <c r="AW161" s="31">
        <v>469757.33183799998</v>
      </c>
      <c r="AX161" s="31">
        <v>521987.08885200002</v>
      </c>
      <c r="AY161" s="29">
        <v>1788849.9391739999</v>
      </c>
      <c r="AZ161" s="29">
        <v>500661.48070700001</v>
      </c>
      <c r="BA161" s="30">
        <v>12347187.841592001</v>
      </c>
      <c r="BB161" s="30">
        <v>3455718.231005</v>
      </c>
      <c r="BC161" s="31">
        <v>2017011.090107</v>
      </c>
      <c r="BD161" s="31">
        <v>564518.98890999996</v>
      </c>
    </row>
    <row r="162" spans="1:56" x14ac:dyDescent="0.3">
      <c r="A162" s="43"/>
      <c r="B162" s="43"/>
      <c r="C162" s="14" t="s">
        <v>291</v>
      </c>
      <c r="D162" s="3" t="s">
        <v>79</v>
      </c>
      <c r="E162" s="3" t="s">
        <v>301</v>
      </c>
      <c r="F162" s="3" t="s">
        <v>73</v>
      </c>
      <c r="G162" s="29">
        <v>24504034.958508998</v>
      </c>
      <c r="H162" s="29">
        <v>21767559.925671</v>
      </c>
      <c r="I162" s="29">
        <v>15541703.93255</v>
      </c>
      <c r="J162" s="29">
        <v>15541703.93255</v>
      </c>
      <c r="K162" s="29">
        <v>15541703.93255</v>
      </c>
      <c r="L162" s="30">
        <v>178501135.61748099</v>
      </c>
      <c r="M162" s="30">
        <v>146096492.79199901</v>
      </c>
      <c r="N162" s="30">
        <v>141375816.012564</v>
      </c>
      <c r="O162" s="30">
        <v>109376750.318572</v>
      </c>
      <c r="P162" s="30">
        <v>109376750.3186</v>
      </c>
      <c r="Q162" s="31">
        <v>27629433.403726</v>
      </c>
      <c r="R162" s="31">
        <v>24449546.911067002</v>
      </c>
      <c r="S162" s="31">
        <v>23059501.875535</v>
      </c>
      <c r="T162" s="31">
        <v>16559467.007200001</v>
      </c>
      <c r="U162" s="29">
        <v>22792078.216878001</v>
      </c>
      <c r="V162" s="29">
        <v>21114242.933336999</v>
      </c>
      <c r="W162" s="29">
        <v>14929440.920547999</v>
      </c>
      <c r="X162" s="29">
        <v>14929440.920547999</v>
      </c>
      <c r="Y162" s="30">
        <v>237027791.725106</v>
      </c>
      <c r="Z162" s="30">
        <v>140259977.253571</v>
      </c>
      <c r="AA162" s="30">
        <v>135529184.021146</v>
      </c>
      <c r="AB162" s="30">
        <v>104610715.01726601</v>
      </c>
      <c r="AC162" s="30">
        <v>104610715.01726601</v>
      </c>
      <c r="AD162" s="31">
        <v>25691095.507711001</v>
      </c>
      <c r="AE162" s="31">
        <v>23717448.623690002</v>
      </c>
      <c r="AF162" s="31">
        <v>22349696.139171001</v>
      </c>
      <c r="AG162" s="31">
        <v>15941454.352237999</v>
      </c>
      <c r="AH162" s="31">
        <v>15941454.352237999</v>
      </c>
      <c r="AI162" s="29">
        <v>31436883.873599999</v>
      </c>
      <c r="AJ162" s="29">
        <v>21029737.069858</v>
      </c>
      <c r="AK162" s="30">
        <v>216986960.08049899</v>
      </c>
      <c r="AL162" s="30">
        <v>143515712.743916</v>
      </c>
      <c r="AM162" s="30">
        <v>138962470.191551</v>
      </c>
      <c r="AN162" s="31">
        <v>35446541.391121998</v>
      </c>
      <c r="AO162" s="31">
        <v>23583704.736159001</v>
      </c>
      <c r="AP162" s="31">
        <v>22225711.646423999</v>
      </c>
      <c r="AQ162" s="31">
        <v>15331113.370705999</v>
      </c>
      <c r="AR162" s="29">
        <v>13245819.935985001</v>
      </c>
      <c r="AS162" s="29">
        <v>10452080.396645</v>
      </c>
      <c r="AT162" s="30">
        <v>115155481.171505</v>
      </c>
      <c r="AU162" s="30">
        <v>71564798.526213005</v>
      </c>
      <c r="AV162" s="31">
        <v>14919934.302725</v>
      </c>
      <c r="AW162" s="31">
        <v>11743933.295955</v>
      </c>
      <c r="AX162" s="31">
        <v>13049677.221302999</v>
      </c>
      <c r="AY162" s="29">
        <v>44721248.479359999</v>
      </c>
      <c r="AZ162" s="29">
        <v>12516537.017673001</v>
      </c>
      <c r="BA162" s="30">
        <v>308679696.039792</v>
      </c>
      <c r="BB162" s="30">
        <v>86392955.775131002</v>
      </c>
      <c r="BC162" s="31">
        <v>50425277.252671003</v>
      </c>
      <c r="BD162" s="31">
        <v>14112974.722759999</v>
      </c>
    </row>
    <row r="163" spans="1:56" x14ac:dyDescent="0.3">
      <c r="A163" s="43"/>
      <c r="B163" s="43"/>
      <c r="C163" s="14" t="s">
        <v>291</v>
      </c>
      <c r="D163" s="3" t="s">
        <v>81</v>
      </c>
      <c r="E163" s="3" t="s">
        <v>302</v>
      </c>
      <c r="F163" s="3" t="s">
        <v>76</v>
      </c>
      <c r="G163" s="29">
        <v>1302730.4118890001</v>
      </c>
      <c r="H163" s="29">
        <v>1157248.688055</v>
      </c>
      <c r="I163" s="29">
        <v>826257.81426599994</v>
      </c>
      <c r="J163" s="29">
        <v>826257.81426599994</v>
      </c>
      <c r="K163" s="29">
        <v>826257.81426599994</v>
      </c>
      <c r="L163" s="30">
        <v>9489819.0571209993</v>
      </c>
      <c r="M163" s="30">
        <v>7767061.4065279998</v>
      </c>
      <c r="N163" s="30">
        <v>7516091.7512990003</v>
      </c>
      <c r="O163" s="30">
        <v>5814896.1685229996</v>
      </c>
      <c r="P163" s="30">
        <v>5814896.1684999997</v>
      </c>
      <c r="Q163" s="31">
        <v>1468888.8266459999</v>
      </c>
      <c r="R163" s="31">
        <v>1299833.6140099999</v>
      </c>
      <c r="S163" s="31">
        <v>1225933.3790180001</v>
      </c>
      <c r="T163" s="31">
        <v>880366.08303400001</v>
      </c>
      <c r="U163" s="29">
        <v>1236190.9930700001</v>
      </c>
      <c r="V163" s="29">
        <v>1145188.985898</v>
      </c>
      <c r="W163" s="29">
        <v>809739.25334699999</v>
      </c>
      <c r="X163" s="29">
        <v>809739.25334699999</v>
      </c>
      <c r="Y163" s="30">
        <v>12855853.619393</v>
      </c>
      <c r="Z163" s="30">
        <v>7607385.2905930001</v>
      </c>
      <c r="AA163" s="30">
        <v>7350797.7197559997</v>
      </c>
      <c r="AB163" s="30">
        <v>5673849.5916200001</v>
      </c>
      <c r="AC163" s="30">
        <v>5673849.5916200001</v>
      </c>
      <c r="AD163" s="31">
        <v>1393427.1621280001</v>
      </c>
      <c r="AE163" s="31">
        <v>1286380.999935</v>
      </c>
      <c r="AF163" s="31">
        <v>1212197.185452</v>
      </c>
      <c r="AG163" s="31">
        <v>864628.58275399997</v>
      </c>
      <c r="AH163" s="31">
        <v>864628.58275399997</v>
      </c>
      <c r="AI163" s="29">
        <v>1667807.207859</v>
      </c>
      <c r="AJ163" s="29">
        <v>1115681.4144019999</v>
      </c>
      <c r="AK163" s="30">
        <v>11511713.994579</v>
      </c>
      <c r="AL163" s="30">
        <v>7613876.1436320003</v>
      </c>
      <c r="AM163" s="30">
        <v>7372314.9641429996</v>
      </c>
      <c r="AN163" s="31">
        <v>1880529.808981</v>
      </c>
      <c r="AO163" s="31">
        <v>1251175.940501</v>
      </c>
      <c r="AP163" s="31">
        <v>1179130.928903</v>
      </c>
      <c r="AQ163" s="31">
        <v>813354.83144500002</v>
      </c>
      <c r="AR163" s="29">
        <v>798797.90337700001</v>
      </c>
      <c r="AS163" s="29">
        <v>630319.59872000001</v>
      </c>
      <c r="AT163" s="30">
        <v>6944527.206828</v>
      </c>
      <c r="AU163" s="30">
        <v>4315762.3533030003</v>
      </c>
      <c r="AV163" s="31">
        <v>899756.473902</v>
      </c>
      <c r="AW163" s="31">
        <v>708225.63945100002</v>
      </c>
      <c r="AX163" s="31">
        <v>807668.81855700002</v>
      </c>
      <c r="AY163" s="29">
        <v>2395202.0304800002</v>
      </c>
      <c r="AZ163" s="29">
        <v>670366.68024000002</v>
      </c>
      <c r="BA163" s="30">
        <v>16532414.900351999</v>
      </c>
      <c r="BB163" s="30">
        <v>4627075.2746829996</v>
      </c>
      <c r="BC163" s="31">
        <v>2700701.1335760001</v>
      </c>
      <c r="BD163" s="31">
        <v>755869.45493400004</v>
      </c>
    </row>
    <row r="164" spans="1:56" ht="15" customHeight="1" thickBot="1" x14ac:dyDescent="0.35">
      <c r="A164" s="48"/>
      <c r="B164" s="48"/>
      <c r="C164" s="14"/>
      <c r="G164" s="32"/>
      <c r="H164" s="32"/>
      <c r="I164" s="32"/>
      <c r="J164" s="32"/>
      <c r="K164" s="32"/>
      <c r="L164" s="33"/>
      <c r="M164" s="33"/>
      <c r="N164" s="33"/>
      <c r="O164" s="33"/>
      <c r="P164" s="33"/>
      <c r="Q164" s="34"/>
      <c r="R164" s="34"/>
      <c r="S164" s="34"/>
      <c r="T164" s="34"/>
      <c r="U164" s="32"/>
      <c r="V164" s="32"/>
      <c r="W164" s="32"/>
      <c r="X164" s="32"/>
      <c r="Y164" s="33"/>
      <c r="Z164" s="33"/>
      <c r="AA164" s="33"/>
      <c r="AB164" s="33"/>
      <c r="AC164" s="33"/>
      <c r="AD164" s="34"/>
      <c r="AE164" s="34"/>
      <c r="AF164" s="34"/>
      <c r="AG164" s="34"/>
      <c r="AH164" s="34"/>
      <c r="AI164" s="32"/>
      <c r="AJ164" s="32"/>
      <c r="AK164" s="33"/>
      <c r="AL164" s="33"/>
      <c r="AM164" s="33"/>
      <c r="AN164" s="34"/>
      <c r="AO164" s="34"/>
      <c r="AP164" s="34"/>
      <c r="AQ164" s="34"/>
      <c r="AR164" s="32"/>
      <c r="AS164" s="32"/>
      <c r="AT164" s="33"/>
      <c r="AU164" s="33"/>
      <c r="AV164" s="34"/>
      <c r="AW164" s="34"/>
      <c r="AX164" s="34"/>
      <c r="AY164" s="32"/>
      <c r="AZ164" s="32"/>
      <c r="BA164" s="33"/>
      <c r="BB164" s="33"/>
      <c r="BC164" s="34"/>
      <c r="BD164" s="34"/>
    </row>
    <row r="165" spans="1:56" ht="15" thickBot="1" x14ac:dyDescent="0.35">
      <c r="A165" s="47" t="s">
        <v>303</v>
      </c>
      <c r="B165" s="45" t="s">
        <v>256</v>
      </c>
      <c r="C165" s="9" t="s">
        <v>257</v>
      </c>
      <c r="D165" s="4" t="s">
        <v>304</v>
      </c>
      <c r="E165" s="4" t="s">
        <v>305</v>
      </c>
      <c r="F165" s="4" t="s">
        <v>67</v>
      </c>
      <c r="G165" s="29">
        <v>9343.0491129999991</v>
      </c>
      <c r="H165" s="29">
        <v>7677.4609190000001</v>
      </c>
      <c r="I165" s="29">
        <v>4682.7511029999996</v>
      </c>
      <c r="J165" s="29">
        <v>4682.7511029999996</v>
      </c>
      <c r="K165" s="29">
        <v>4682.7511029999996</v>
      </c>
      <c r="L165" s="30">
        <v>84085.142204999996</v>
      </c>
      <c r="M165" s="30">
        <v>52551.274497999999</v>
      </c>
      <c r="N165" s="30">
        <v>50850.209490000001</v>
      </c>
      <c r="O165" s="30">
        <v>38242.178701999997</v>
      </c>
      <c r="P165" s="30">
        <v>38290.0461</v>
      </c>
      <c r="Q165" s="31">
        <v>10646.939584</v>
      </c>
      <c r="R165" s="31">
        <v>8642.7449080000006</v>
      </c>
      <c r="S165" s="31">
        <v>8149.1040320000002</v>
      </c>
      <c r="T165" s="31">
        <v>4979.6245669999998</v>
      </c>
      <c r="U165" s="29">
        <v>9901.1954519999999</v>
      </c>
      <c r="V165" s="29">
        <v>8433.4411490000002</v>
      </c>
      <c r="W165" s="29">
        <v>5548.7947549999999</v>
      </c>
      <c r="X165" s="29">
        <v>5548.7947549999999</v>
      </c>
      <c r="Y165" s="30">
        <v>157325.56529100001</v>
      </c>
      <c r="Z165" s="30">
        <v>57658.183667999998</v>
      </c>
      <c r="AA165" s="30">
        <v>55557.816503000002</v>
      </c>
      <c r="AB165" s="30">
        <v>44491.68376</v>
      </c>
      <c r="AC165" s="30">
        <v>44574.685706999997</v>
      </c>
      <c r="AD165" s="31">
        <v>11192.217325</v>
      </c>
      <c r="AE165" s="31">
        <v>9518.3151809999999</v>
      </c>
      <c r="AF165" s="31">
        <v>8923.6106629999995</v>
      </c>
      <c r="AG165" s="31">
        <v>5893.9991389999996</v>
      </c>
      <c r="AH165" s="31">
        <v>5897.0895330000003</v>
      </c>
      <c r="AI165" s="29">
        <v>16451.217811999999</v>
      </c>
      <c r="AJ165" s="29">
        <v>8050.943115</v>
      </c>
      <c r="AK165" s="30">
        <v>130585.42649</v>
      </c>
      <c r="AL165" s="30">
        <v>55701.912245</v>
      </c>
      <c r="AM165" s="30">
        <v>53885.361943000004</v>
      </c>
      <c r="AN165" s="31">
        <v>18554.174924999999</v>
      </c>
      <c r="AO165" s="31">
        <v>9028.1128260000005</v>
      </c>
      <c r="AP165" s="31">
        <v>8477.9096890000001</v>
      </c>
      <c r="AQ165" s="31">
        <v>4679.1157789999997</v>
      </c>
      <c r="AR165" s="29">
        <v>4313.7577229999997</v>
      </c>
      <c r="AS165" s="29">
        <v>3165.2269209999999</v>
      </c>
      <c r="AT165" s="30">
        <v>68173.659188999998</v>
      </c>
      <c r="AU165" s="30">
        <v>22459.738991999999</v>
      </c>
      <c r="AV165" s="31">
        <v>4770.0151349999996</v>
      </c>
      <c r="AW165" s="31">
        <v>3559.1736689999998</v>
      </c>
      <c r="AX165" s="31">
        <v>4063.787272</v>
      </c>
      <c r="AY165" s="29">
        <v>44936.360357999998</v>
      </c>
      <c r="AZ165" s="29">
        <v>3365.110576</v>
      </c>
      <c r="BA165" s="30">
        <v>345088.13360599999</v>
      </c>
      <c r="BB165" s="30">
        <v>23227.019486000001</v>
      </c>
      <c r="BC165" s="31">
        <v>50513.017178000002</v>
      </c>
      <c r="BD165" s="31">
        <v>3794.317904</v>
      </c>
    </row>
    <row r="166" spans="1:56" x14ac:dyDescent="0.3">
      <c r="A166" s="43"/>
      <c r="B166" s="43"/>
      <c r="C166" s="10" t="s">
        <v>257</v>
      </c>
      <c r="D166" s="3" t="s">
        <v>306</v>
      </c>
      <c r="E166" s="3" t="s">
        <v>307</v>
      </c>
      <c r="F166" s="3" t="s">
        <v>76</v>
      </c>
      <c r="G166" s="32"/>
      <c r="H166" s="32"/>
      <c r="I166" s="32"/>
      <c r="J166" s="32"/>
      <c r="K166" s="32"/>
      <c r="L166" s="33"/>
      <c r="M166" s="33"/>
      <c r="N166" s="33"/>
      <c r="O166" s="33"/>
      <c r="P166" s="33"/>
      <c r="Q166" s="34"/>
      <c r="R166" s="34"/>
      <c r="S166" s="34"/>
      <c r="T166" s="34"/>
      <c r="U166" s="32"/>
      <c r="V166" s="32"/>
      <c r="W166" s="32"/>
      <c r="X166" s="32"/>
      <c r="Y166" s="33"/>
      <c r="Z166" s="33"/>
      <c r="AA166" s="33"/>
      <c r="AB166" s="33"/>
      <c r="AC166" s="33"/>
      <c r="AD166" s="34"/>
      <c r="AE166" s="34"/>
      <c r="AF166" s="34"/>
      <c r="AG166" s="34"/>
      <c r="AH166" s="34"/>
      <c r="AI166" s="32"/>
      <c r="AJ166" s="32"/>
      <c r="AK166" s="33"/>
      <c r="AL166" s="33"/>
      <c r="AM166" s="33"/>
      <c r="AN166" s="34"/>
      <c r="AO166" s="34"/>
      <c r="AP166" s="34"/>
      <c r="AQ166" s="34"/>
      <c r="AR166" s="32"/>
      <c r="AS166" s="32"/>
      <c r="AT166" s="33"/>
      <c r="AU166" s="33"/>
      <c r="AV166" s="34"/>
      <c r="AW166" s="34"/>
      <c r="AX166" s="34"/>
      <c r="AY166" s="32"/>
      <c r="AZ166" s="32"/>
      <c r="BA166" s="33"/>
      <c r="BB166" s="33"/>
      <c r="BC166" s="34"/>
      <c r="BD166" s="34"/>
    </row>
    <row r="167" spans="1:56" x14ac:dyDescent="0.3">
      <c r="A167" s="43"/>
      <c r="B167" s="43"/>
      <c r="C167" s="10" t="s">
        <v>257</v>
      </c>
      <c r="D167" s="3" t="s">
        <v>308</v>
      </c>
      <c r="E167" s="3" t="s">
        <v>309</v>
      </c>
      <c r="F167" s="3" t="s">
        <v>76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30">
        <v>0</v>
      </c>
      <c r="M167" s="30">
        <v>0</v>
      </c>
      <c r="N167" s="30">
        <v>0</v>
      </c>
      <c r="O167" s="30">
        <v>0</v>
      </c>
      <c r="P167" s="30">
        <v>0</v>
      </c>
      <c r="Q167" s="31">
        <v>0</v>
      </c>
      <c r="R167" s="31">
        <v>0</v>
      </c>
      <c r="S167" s="31">
        <v>0</v>
      </c>
      <c r="T167" s="31">
        <v>0</v>
      </c>
      <c r="U167" s="29">
        <v>0</v>
      </c>
      <c r="V167" s="29">
        <v>0</v>
      </c>
      <c r="W167" s="29">
        <v>0</v>
      </c>
      <c r="X167" s="29">
        <v>0</v>
      </c>
      <c r="Y167" s="30">
        <v>0</v>
      </c>
      <c r="Z167" s="30">
        <v>0</v>
      </c>
      <c r="AA167" s="30">
        <v>0</v>
      </c>
      <c r="AB167" s="30">
        <v>0</v>
      </c>
      <c r="AC167" s="30">
        <v>0</v>
      </c>
      <c r="AD167" s="31">
        <v>0</v>
      </c>
      <c r="AE167" s="31">
        <v>0</v>
      </c>
      <c r="AF167" s="31">
        <v>0</v>
      </c>
      <c r="AG167" s="31">
        <v>0</v>
      </c>
      <c r="AH167" s="31">
        <v>0</v>
      </c>
      <c r="AI167" s="29">
        <v>0</v>
      </c>
      <c r="AJ167" s="29">
        <v>0</v>
      </c>
      <c r="AK167" s="30">
        <v>0</v>
      </c>
      <c r="AL167" s="30">
        <v>0</v>
      </c>
      <c r="AM167" s="30">
        <v>0</v>
      </c>
      <c r="AN167" s="31">
        <v>0</v>
      </c>
      <c r="AO167" s="31">
        <v>0</v>
      </c>
      <c r="AP167" s="31">
        <v>0</v>
      </c>
      <c r="AQ167" s="31">
        <v>0</v>
      </c>
      <c r="AR167" s="29">
        <v>0</v>
      </c>
      <c r="AS167" s="29">
        <v>0</v>
      </c>
      <c r="AT167" s="30">
        <v>0</v>
      </c>
      <c r="AU167" s="30">
        <v>0</v>
      </c>
      <c r="AV167" s="31">
        <v>0</v>
      </c>
      <c r="AW167" s="31">
        <v>0</v>
      </c>
      <c r="AX167" s="31">
        <v>0</v>
      </c>
      <c r="AY167" s="29">
        <v>0</v>
      </c>
      <c r="AZ167" s="29">
        <v>0</v>
      </c>
      <c r="BA167" s="30">
        <v>0</v>
      </c>
      <c r="BB167" s="30">
        <v>0</v>
      </c>
      <c r="BC167" s="31">
        <v>0</v>
      </c>
      <c r="BD167" s="31">
        <v>0</v>
      </c>
    </row>
    <row r="168" spans="1:56" x14ac:dyDescent="0.3">
      <c r="A168" s="43"/>
      <c r="B168" s="44"/>
      <c r="C168" s="12"/>
      <c r="D168" s="7"/>
      <c r="E168" s="7"/>
      <c r="F168" s="7"/>
      <c r="G168" s="32"/>
      <c r="H168" s="32"/>
      <c r="I168" s="32"/>
      <c r="J168" s="32"/>
      <c r="K168" s="32"/>
      <c r="L168" s="33"/>
      <c r="M168" s="33"/>
      <c r="N168" s="33"/>
      <c r="O168" s="33"/>
      <c r="P168" s="33"/>
      <c r="Q168" s="34"/>
      <c r="R168" s="34"/>
      <c r="S168" s="34"/>
      <c r="T168" s="34"/>
      <c r="U168" s="32"/>
      <c r="V168" s="32"/>
      <c r="W168" s="32"/>
      <c r="X168" s="32"/>
      <c r="Y168" s="33"/>
      <c r="Z168" s="33"/>
      <c r="AA168" s="33"/>
      <c r="AB168" s="33"/>
      <c r="AC168" s="33"/>
      <c r="AD168" s="34"/>
      <c r="AE168" s="34"/>
      <c r="AF168" s="34"/>
      <c r="AG168" s="34"/>
      <c r="AH168" s="34"/>
      <c r="AI168" s="32"/>
      <c r="AJ168" s="32"/>
      <c r="AK168" s="33"/>
      <c r="AL168" s="33"/>
      <c r="AM168" s="33"/>
      <c r="AN168" s="34"/>
      <c r="AO168" s="34"/>
      <c r="AP168" s="34"/>
      <c r="AQ168" s="34"/>
      <c r="AR168" s="32"/>
      <c r="AS168" s="32"/>
      <c r="AT168" s="33"/>
      <c r="AU168" s="33"/>
      <c r="AV168" s="34"/>
      <c r="AW168" s="34"/>
      <c r="AX168" s="34"/>
      <c r="AY168" s="32"/>
      <c r="AZ168" s="32"/>
      <c r="BA168" s="33"/>
      <c r="BB168" s="33"/>
      <c r="BC168" s="34"/>
      <c r="BD168" s="34"/>
    </row>
    <row r="169" spans="1:56" x14ac:dyDescent="0.3">
      <c r="A169" s="43"/>
      <c r="B169" s="46" t="s">
        <v>310</v>
      </c>
      <c r="C169" s="10" t="s">
        <v>311</v>
      </c>
      <c r="D169" s="3" t="s">
        <v>312</v>
      </c>
      <c r="E169" s="3" t="s">
        <v>313</v>
      </c>
      <c r="F169" s="3" t="s">
        <v>154</v>
      </c>
      <c r="G169" s="32"/>
      <c r="H169" s="32"/>
      <c r="I169" s="32"/>
      <c r="J169" s="32"/>
      <c r="K169" s="32"/>
      <c r="L169" s="30">
        <v>0</v>
      </c>
      <c r="M169" s="30">
        <v>46089.468424999999</v>
      </c>
      <c r="N169" s="30">
        <v>0</v>
      </c>
      <c r="O169" s="30">
        <v>32663.723232</v>
      </c>
      <c r="P169" s="30">
        <v>23617.333600000002</v>
      </c>
      <c r="Q169" s="31">
        <v>6169.7331199999999</v>
      </c>
      <c r="R169" s="31">
        <v>6925.116059</v>
      </c>
      <c r="S169" s="31">
        <v>3474.8945800000001</v>
      </c>
      <c r="T169" s="31">
        <v>369.09444999999999</v>
      </c>
      <c r="U169" s="32"/>
      <c r="V169" s="32"/>
      <c r="W169" s="32"/>
      <c r="X169" s="32"/>
      <c r="Y169" s="30">
        <v>0</v>
      </c>
      <c r="Z169" s="30">
        <v>16125.361857</v>
      </c>
      <c r="AA169" s="30">
        <v>4114.4168019999997</v>
      </c>
      <c r="AB169" s="30">
        <v>12979.631504000001</v>
      </c>
      <c r="AC169" s="30">
        <v>15112.258195</v>
      </c>
      <c r="AD169" s="31">
        <v>402.88042999999999</v>
      </c>
      <c r="AE169" s="31">
        <v>2220.6531249999998</v>
      </c>
      <c r="AF169" s="31">
        <v>1556.719914</v>
      </c>
      <c r="AG169" s="31">
        <v>0</v>
      </c>
      <c r="AH169" s="31">
        <v>66.598965000000007</v>
      </c>
      <c r="AI169" s="32"/>
      <c r="AJ169" s="32"/>
      <c r="AK169" s="30">
        <v>0</v>
      </c>
      <c r="AL169" s="30">
        <v>27057.423896</v>
      </c>
      <c r="AM169" s="30">
        <v>23039.727570999999</v>
      </c>
      <c r="AN169" s="31">
        <v>730.89843399999995</v>
      </c>
      <c r="AO169" s="31">
        <v>10778.661445</v>
      </c>
      <c r="AP169" s="31">
        <v>0</v>
      </c>
      <c r="AQ169" s="31">
        <v>691.062004</v>
      </c>
      <c r="AR169" s="32"/>
      <c r="AS169" s="32"/>
      <c r="AT169" s="30">
        <v>0</v>
      </c>
      <c r="AU169" s="30">
        <v>0</v>
      </c>
      <c r="AV169" s="31">
        <v>0</v>
      </c>
      <c r="AW169" s="31">
        <v>0</v>
      </c>
      <c r="AX169" s="31">
        <v>0</v>
      </c>
      <c r="AY169" s="32"/>
      <c r="AZ169" s="32"/>
      <c r="BA169" s="30">
        <v>0</v>
      </c>
      <c r="BB169" s="30">
        <v>0</v>
      </c>
      <c r="BC169" s="31">
        <v>0</v>
      </c>
      <c r="BD169" s="31">
        <v>0</v>
      </c>
    </row>
    <row r="170" spans="1:56" x14ac:dyDescent="0.3">
      <c r="A170" s="43"/>
      <c r="B170" s="43"/>
      <c r="C170" s="10" t="s">
        <v>311</v>
      </c>
      <c r="D170" s="3" t="s">
        <v>314</v>
      </c>
      <c r="E170" s="3" t="s">
        <v>315</v>
      </c>
      <c r="F170" s="3" t="s">
        <v>76</v>
      </c>
      <c r="G170" s="32"/>
      <c r="H170" s="32"/>
      <c r="I170" s="32"/>
      <c r="J170" s="32"/>
      <c r="K170" s="32"/>
      <c r="L170" s="33"/>
      <c r="M170" s="33"/>
      <c r="N170" s="33"/>
      <c r="O170" s="33"/>
      <c r="P170" s="33"/>
      <c r="Q170" s="34"/>
      <c r="R170" s="34"/>
      <c r="S170" s="34"/>
      <c r="T170" s="34"/>
      <c r="U170" s="32"/>
      <c r="V170" s="32"/>
      <c r="W170" s="32"/>
      <c r="X170" s="32"/>
      <c r="Y170" s="33"/>
      <c r="Z170" s="33"/>
      <c r="AA170" s="33"/>
      <c r="AB170" s="33"/>
      <c r="AC170" s="33"/>
      <c r="AD170" s="34"/>
      <c r="AE170" s="34"/>
      <c r="AF170" s="34"/>
      <c r="AG170" s="34"/>
      <c r="AH170" s="34"/>
      <c r="AI170" s="32"/>
      <c r="AJ170" s="32"/>
      <c r="AK170" s="33"/>
      <c r="AL170" s="33"/>
      <c r="AM170" s="33"/>
      <c r="AN170" s="34"/>
      <c r="AO170" s="34"/>
      <c r="AP170" s="34"/>
      <c r="AQ170" s="34"/>
      <c r="AR170" s="32"/>
      <c r="AS170" s="32"/>
      <c r="AT170" s="33"/>
      <c r="AU170" s="33"/>
      <c r="AV170" s="34"/>
      <c r="AW170" s="34"/>
      <c r="AX170" s="34"/>
      <c r="AY170" s="32"/>
      <c r="AZ170" s="32"/>
      <c r="BA170" s="33"/>
      <c r="BB170" s="33"/>
      <c r="BC170" s="34"/>
      <c r="BD170" s="34"/>
    </row>
    <row r="171" spans="1:56" x14ac:dyDescent="0.3">
      <c r="A171" s="43"/>
      <c r="B171" s="43"/>
      <c r="C171" s="10" t="s">
        <v>311</v>
      </c>
      <c r="D171" s="3" t="s">
        <v>316</v>
      </c>
      <c r="E171" s="3" t="s">
        <v>317</v>
      </c>
      <c r="F171" s="3" t="s">
        <v>76</v>
      </c>
      <c r="G171" s="32"/>
      <c r="H171" s="32"/>
      <c r="I171" s="32"/>
      <c r="J171" s="32"/>
      <c r="K171" s="32"/>
      <c r="L171" s="30">
        <v>0</v>
      </c>
      <c r="M171" s="30">
        <v>0</v>
      </c>
      <c r="N171" s="30">
        <v>0</v>
      </c>
      <c r="O171" s="30">
        <v>0</v>
      </c>
      <c r="P171" s="30">
        <v>0</v>
      </c>
      <c r="Q171" s="31">
        <v>0</v>
      </c>
      <c r="R171" s="31">
        <v>0</v>
      </c>
      <c r="S171" s="31">
        <v>0</v>
      </c>
      <c r="T171" s="31">
        <v>0</v>
      </c>
      <c r="U171" s="32"/>
      <c r="V171" s="32"/>
      <c r="W171" s="32"/>
      <c r="X171" s="32"/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1">
        <v>0</v>
      </c>
      <c r="AE171" s="31">
        <v>0</v>
      </c>
      <c r="AF171" s="31">
        <v>0</v>
      </c>
      <c r="AG171" s="31">
        <v>0</v>
      </c>
      <c r="AH171" s="31">
        <v>0</v>
      </c>
      <c r="AI171" s="32"/>
      <c r="AJ171" s="32"/>
      <c r="AK171" s="30">
        <v>0</v>
      </c>
      <c r="AL171" s="30">
        <v>0</v>
      </c>
      <c r="AM171" s="30">
        <v>0</v>
      </c>
      <c r="AN171" s="31">
        <v>0</v>
      </c>
      <c r="AO171" s="31">
        <v>0</v>
      </c>
      <c r="AP171" s="31">
        <v>0</v>
      </c>
      <c r="AQ171" s="31">
        <v>0</v>
      </c>
      <c r="AR171" s="32"/>
      <c r="AS171" s="32"/>
      <c r="AT171" s="30">
        <v>0</v>
      </c>
      <c r="AU171" s="30">
        <v>0</v>
      </c>
      <c r="AV171" s="31">
        <v>0</v>
      </c>
      <c r="AW171" s="31">
        <v>0</v>
      </c>
      <c r="AX171" s="31">
        <v>0</v>
      </c>
      <c r="AY171" s="32"/>
      <c r="AZ171" s="32"/>
      <c r="BA171" s="30">
        <v>0</v>
      </c>
      <c r="BB171" s="30">
        <v>0</v>
      </c>
      <c r="BC171" s="31">
        <v>0</v>
      </c>
      <c r="BD171" s="31">
        <v>0</v>
      </c>
    </row>
    <row r="172" spans="1:56" x14ac:dyDescent="0.3">
      <c r="A172" s="43"/>
      <c r="B172" s="44"/>
      <c r="C172" s="10"/>
      <c r="G172" s="32"/>
      <c r="H172" s="32"/>
      <c r="I172" s="32"/>
      <c r="J172" s="32"/>
      <c r="K172" s="32"/>
      <c r="L172" s="33"/>
      <c r="M172" s="33"/>
      <c r="N172" s="33"/>
      <c r="O172" s="33"/>
      <c r="P172" s="33"/>
      <c r="Q172" s="34"/>
      <c r="R172" s="34"/>
      <c r="S172" s="34"/>
      <c r="T172" s="34"/>
      <c r="U172" s="32"/>
      <c r="V172" s="32"/>
      <c r="W172" s="32"/>
      <c r="X172" s="32"/>
      <c r="Y172" s="33"/>
      <c r="Z172" s="33"/>
      <c r="AA172" s="33"/>
      <c r="AB172" s="33"/>
      <c r="AC172" s="33"/>
      <c r="AD172" s="34"/>
      <c r="AE172" s="34"/>
      <c r="AF172" s="34"/>
      <c r="AG172" s="34"/>
      <c r="AH172" s="34"/>
      <c r="AI172" s="32"/>
      <c r="AJ172" s="32"/>
      <c r="AK172" s="33"/>
      <c r="AL172" s="33"/>
      <c r="AM172" s="33"/>
      <c r="AN172" s="34"/>
      <c r="AO172" s="34"/>
      <c r="AP172" s="34"/>
      <c r="AQ172" s="34"/>
      <c r="AR172" s="32"/>
      <c r="AS172" s="32"/>
      <c r="AT172" s="33"/>
      <c r="AU172" s="33"/>
      <c r="AV172" s="34"/>
      <c r="AW172" s="34"/>
      <c r="AX172" s="34"/>
      <c r="AY172" s="32"/>
      <c r="AZ172" s="32"/>
      <c r="BA172" s="33"/>
      <c r="BB172" s="33"/>
      <c r="BC172" s="34"/>
      <c r="BD172" s="34"/>
    </row>
    <row r="173" spans="1:56" x14ac:dyDescent="0.3">
      <c r="A173" s="43"/>
      <c r="B173" s="46" t="s">
        <v>318</v>
      </c>
      <c r="C173" s="11" t="s">
        <v>268</v>
      </c>
      <c r="D173" s="6" t="s">
        <v>319</v>
      </c>
      <c r="E173" s="6" t="s">
        <v>320</v>
      </c>
      <c r="F173" s="6" t="s">
        <v>70</v>
      </c>
      <c r="G173" s="29">
        <v>76600.455690000003</v>
      </c>
      <c r="H173" s="29">
        <v>33694.425751000002</v>
      </c>
      <c r="I173" s="29">
        <v>0</v>
      </c>
      <c r="J173" s="29">
        <v>0</v>
      </c>
      <c r="K173" s="29">
        <v>0</v>
      </c>
      <c r="L173" s="30">
        <v>633748.96932000003</v>
      </c>
      <c r="M173" s="30">
        <v>198469.04624500001</v>
      </c>
      <c r="N173" s="30">
        <v>192700.35530699999</v>
      </c>
      <c r="O173" s="30">
        <v>0</v>
      </c>
      <c r="P173" s="30">
        <v>0</v>
      </c>
      <c r="Q173" s="31">
        <v>85839.494607000001</v>
      </c>
      <c r="R173" s="31">
        <v>37267.649839999998</v>
      </c>
      <c r="S173" s="31">
        <v>35297.808958000001</v>
      </c>
      <c r="T173" s="31">
        <v>0</v>
      </c>
      <c r="U173" s="29">
        <v>103355.998129</v>
      </c>
      <c r="V173" s="29">
        <v>47325.034891000003</v>
      </c>
      <c r="W173" s="29">
        <v>0</v>
      </c>
      <c r="X173" s="29">
        <v>0</v>
      </c>
      <c r="Y173" s="30">
        <v>974459.38187799999</v>
      </c>
      <c r="Z173" s="30">
        <v>279046.44897600001</v>
      </c>
      <c r="AA173" s="30">
        <v>272103.342367</v>
      </c>
      <c r="AB173" s="30">
        <v>47.767906000000004</v>
      </c>
      <c r="AC173" s="30">
        <v>47.767906000000004</v>
      </c>
      <c r="AD173" s="31">
        <v>115924.601385</v>
      </c>
      <c r="AE173" s="31">
        <v>52381.658156999998</v>
      </c>
      <c r="AF173" s="31">
        <v>49944.741527999999</v>
      </c>
      <c r="AG173" s="31">
        <v>0</v>
      </c>
      <c r="AH173" s="31">
        <v>0</v>
      </c>
      <c r="AI173" s="29">
        <v>91700.261379999996</v>
      </c>
      <c r="AJ173" s="29">
        <v>28125.654947999999</v>
      </c>
      <c r="AK173" s="30">
        <v>335331.33954900003</v>
      </c>
      <c r="AL173" s="30">
        <v>212787.64122600001</v>
      </c>
      <c r="AM173" s="30">
        <v>207699.01633300001</v>
      </c>
      <c r="AN173" s="31">
        <v>103142.471401</v>
      </c>
      <c r="AO173" s="31">
        <v>31649.266060999998</v>
      </c>
      <c r="AP173" s="31">
        <v>29696.864833</v>
      </c>
      <c r="AQ173" s="31">
        <v>0</v>
      </c>
      <c r="AR173" s="29">
        <v>143489.74382599999</v>
      </c>
      <c r="AS173" s="29">
        <v>23315.245596000001</v>
      </c>
      <c r="AT173" s="30">
        <v>1743705.798131</v>
      </c>
      <c r="AU173" s="30">
        <v>179772.61459400001</v>
      </c>
      <c r="AV173" s="31">
        <v>160751.47271</v>
      </c>
      <c r="AW173" s="31">
        <v>25333.917319</v>
      </c>
      <c r="AX173" s="31">
        <v>158137.424936</v>
      </c>
      <c r="AY173" s="29">
        <v>106493.83945499999</v>
      </c>
      <c r="AZ173" s="29">
        <v>0</v>
      </c>
      <c r="BA173" s="30">
        <v>598011.28537599999</v>
      </c>
      <c r="BB173" s="30">
        <v>0</v>
      </c>
      <c r="BC173" s="31">
        <v>122335.528972</v>
      </c>
      <c r="BD173" s="31">
        <v>0</v>
      </c>
    </row>
    <row r="174" spans="1:56" x14ac:dyDescent="0.3">
      <c r="A174" s="43"/>
      <c r="B174" s="43"/>
      <c r="C174" s="10" t="s">
        <v>268</v>
      </c>
      <c r="D174" s="3" t="s">
        <v>321</v>
      </c>
      <c r="E174" s="3" t="s">
        <v>322</v>
      </c>
      <c r="F174" s="3" t="s">
        <v>76</v>
      </c>
      <c r="G174" s="29">
        <v>114900.683535</v>
      </c>
      <c r="H174" s="29">
        <v>50541.638627</v>
      </c>
      <c r="I174" s="29">
        <v>0</v>
      </c>
      <c r="J174" s="29">
        <v>0</v>
      </c>
      <c r="K174" s="29">
        <v>0</v>
      </c>
      <c r="L174" s="30">
        <v>950623.45397899998</v>
      </c>
      <c r="M174" s="30">
        <v>297703.56936800003</v>
      </c>
      <c r="N174" s="30">
        <v>289050.53296099999</v>
      </c>
      <c r="O174" s="30">
        <v>0</v>
      </c>
      <c r="P174" s="30">
        <v>0</v>
      </c>
      <c r="Q174" s="31">
        <v>128759.24191</v>
      </c>
      <c r="R174" s="31">
        <v>55901.474760999998</v>
      </c>
      <c r="S174" s="31">
        <v>52946.713436999999</v>
      </c>
      <c r="T174" s="31">
        <v>0</v>
      </c>
      <c r="U174" s="29">
        <v>155033.99719299999</v>
      </c>
      <c r="V174" s="29">
        <v>70987.552337000001</v>
      </c>
      <c r="W174" s="29">
        <v>0</v>
      </c>
      <c r="X174" s="29">
        <v>0</v>
      </c>
      <c r="Y174" s="30">
        <v>1461689.0728170001</v>
      </c>
      <c r="Z174" s="30">
        <v>418569.67346299998</v>
      </c>
      <c r="AA174" s="30">
        <v>408155.01354999997</v>
      </c>
      <c r="AB174" s="30">
        <v>71.651859999999999</v>
      </c>
      <c r="AC174" s="30">
        <v>71.651859999999999</v>
      </c>
      <c r="AD174" s="31">
        <v>173886.90207800001</v>
      </c>
      <c r="AE174" s="31">
        <v>78572.487234999993</v>
      </c>
      <c r="AF174" s="31">
        <v>74917.112292000005</v>
      </c>
      <c r="AG174" s="31">
        <v>0</v>
      </c>
      <c r="AH174" s="31">
        <v>0</v>
      </c>
      <c r="AI174" s="29">
        <v>137550.39207</v>
      </c>
      <c r="AJ174" s="29">
        <v>42188.482423000001</v>
      </c>
      <c r="AK174" s="30">
        <v>502997.00932299998</v>
      </c>
      <c r="AL174" s="30">
        <v>319181.461839</v>
      </c>
      <c r="AM174" s="30">
        <v>311548.52449899999</v>
      </c>
      <c r="AN174" s="31">
        <v>154713.70710199999</v>
      </c>
      <c r="AO174" s="31">
        <v>47473.899092</v>
      </c>
      <c r="AP174" s="31">
        <v>44545.297250000003</v>
      </c>
      <c r="AQ174" s="31">
        <v>0</v>
      </c>
      <c r="AR174" s="29">
        <v>215234.615739</v>
      </c>
      <c r="AS174" s="29">
        <v>34972.868393999997</v>
      </c>
      <c r="AT174" s="30">
        <v>2615558.697197</v>
      </c>
      <c r="AU174" s="30">
        <v>269658.92189100001</v>
      </c>
      <c r="AV174" s="31">
        <v>241127.209065</v>
      </c>
      <c r="AW174" s="31">
        <v>38000.875977999996</v>
      </c>
      <c r="AX174" s="31">
        <v>237206.13740400001</v>
      </c>
      <c r="AY174" s="29">
        <v>159740.75918200001</v>
      </c>
      <c r="AZ174" s="29">
        <v>0</v>
      </c>
      <c r="BA174" s="30">
        <v>897016.92806399998</v>
      </c>
      <c r="BB174" s="30">
        <v>0</v>
      </c>
      <c r="BC174" s="31">
        <v>183503.29345699999</v>
      </c>
      <c r="BD174" s="31">
        <v>0</v>
      </c>
    </row>
    <row r="175" spans="1:56" x14ac:dyDescent="0.3">
      <c r="A175" s="43"/>
      <c r="B175" s="44"/>
      <c r="C175" s="12"/>
      <c r="D175" s="7"/>
      <c r="E175" s="7"/>
      <c r="F175" s="7"/>
      <c r="G175" s="32"/>
      <c r="H175" s="32"/>
      <c r="I175" s="32"/>
      <c r="J175" s="32"/>
      <c r="K175" s="32"/>
      <c r="L175" s="33"/>
      <c r="M175" s="33"/>
      <c r="N175" s="33"/>
      <c r="O175" s="33"/>
      <c r="P175" s="33"/>
      <c r="Q175" s="34"/>
      <c r="R175" s="34"/>
      <c r="S175" s="34"/>
      <c r="T175" s="34"/>
      <c r="U175" s="32"/>
      <c r="V175" s="32"/>
      <c r="W175" s="32"/>
      <c r="X175" s="32"/>
      <c r="Y175" s="33"/>
      <c r="Z175" s="33"/>
      <c r="AA175" s="33"/>
      <c r="AB175" s="33"/>
      <c r="AC175" s="33"/>
      <c r="AD175" s="34"/>
      <c r="AE175" s="34"/>
      <c r="AF175" s="34"/>
      <c r="AG175" s="34"/>
      <c r="AH175" s="34"/>
      <c r="AI175" s="32"/>
      <c r="AJ175" s="32"/>
      <c r="AK175" s="33"/>
      <c r="AL175" s="33"/>
      <c r="AM175" s="33"/>
      <c r="AN175" s="34"/>
      <c r="AO175" s="34"/>
      <c r="AP175" s="34"/>
      <c r="AQ175" s="34"/>
      <c r="AR175" s="32"/>
      <c r="AS175" s="32"/>
      <c r="AT175" s="33"/>
      <c r="AU175" s="33"/>
      <c r="AV175" s="34"/>
      <c r="AW175" s="34"/>
      <c r="AX175" s="34"/>
      <c r="AY175" s="32"/>
      <c r="AZ175" s="32"/>
      <c r="BA175" s="33"/>
      <c r="BB175" s="33"/>
      <c r="BC175" s="34"/>
      <c r="BD175" s="34"/>
    </row>
    <row r="176" spans="1:56" x14ac:dyDescent="0.3">
      <c r="A176" s="43"/>
      <c r="B176" s="46" t="s">
        <v>323</v>
      </c>
      <c r="C176" s="11" t="s">
        <v>324</v>
      </c>
      <c r="D176" s="6" t="s">
        <v>325</v>
      </c>
      <c r="E176" s="6" t="s">
        <v>326</v>
      </c>
      <c r="F176" s="6" t="s">
        <v>89</v>
      </c>
      <c r="G176" s="32"/>
      <c r="H176" s="32"/>
      <c r="I176" s="32"/>
      <c r="J176" s="32"/>
      <c r="K176" s="32"/>
      <c r="L176" s="33"/>
      <c r="M176" s="33"/>
      <c r="N176" s="33"/>
      <c r="O176" s="33"/>
      <c r="P176" s="33"/>
      <c r="Q176" s="31">
        <v>2500104</v>
      </c>
      <c r="R176" s="31">
        <v>2500104</v>
      </c>
      <c r="S176" s="31">
        <v>2500104</v>
      </c>
      <c r="T176" s="31">
        <v>2500104</v>
      </c>
      <c r="U176" s="32"/>
      <c r="V176" s="32"/>
      <c r="W176" s="32"/>
      <c r="X176" s="32"/>
      <c r="Y176" s="33"/>
      <c r="Z176" s="33"/>
      <c r="AA176" s="33"/>
      <c r="AB176" s="33"/>
      <c r="AC176" s="33"/>
      <c r="AD176" s="31">
        <v>2500104</v>
      </c>
      <c r="AE176" s="31">
        <v>2500104</v>
      </c>
      <c r="AF176" s="31">
        <v>2500104</v>
      </c>
      <c r="AG176" s="31">
        <v>2500104</v>
      </c>
      <c r="AH176" s="31">
        <v>2500104</v>
      </c>
      <c r="AI176" s="32"/>
      <c r="AJ176" s="32"/>
      <c r="AK176" s="33"/>
      <c r="AL176" s="33"/>
      <c r="AM176" s="33"/>
      <c r="AN176" s="31">
        <v>2500104</v>
      </c>
      <c r="AO176" s="31">
        <v>2500104</v>
      </c>
      <c r="AP176" s="31">
        <v>2500104</v>
      </c>
      <c r="AQ176" s="31">
        <v>2500104</v>
      </c>
      <c r="AR176" s="32"/>
      <c r="AS176" s="32"/>
      <c r="AT176" s="33"/>
      <c r="AU176" s="33"/>
      <c r="AV176" s="31">
        <v>2500104</v>
      </c>
      <c r="AW176" s="31">
        <v>2500104</v>
      </c>
      <c r="AX176" s="31">
        <v>2500104</v>
      </c>
      <c r="AY176" s="32"/>
      <c r="AZ176" s="32"/>
      <c r="BA176" s="33"/>
      <c r="BB176" s="33"/>
      <c r="BC176" s="31">
        <v>2500104</v>
      </c>
      <c r="BD176" s="31">
        <v>2500104</v>
      </c>
    </row>
    <row r="177" spans="1:56" x14ac:dyDescent="0.3">
      <c r="A177" s="43"/>
      <c r="B177" s="43"/>
      <c r="C177" s="10" t="s">
        <v>324</v>
      </c>
      <c r="D177" s="3" t="s">
        <v>327</v>
      </c>
      <c r="E177" s="3" t="s">
        <v>328</v>
      </c>
      <c r="F177" s="3" t="s">
        <v>76</v>
      </c>
      <c r="G177" s="32"/>
      <c r="H177" s="32"/>
      <c r="I177" s="32"/>
      <c r="J177" s="32"/>
      <c r="K177" s="32"/>
      <c r="L177" s="33"/>
      <c r="M177" s="33"/>
      <c r="N177" s="33"/>
      <c r="O177" s="33"/>
      <c r="P177" s="33"/>
      <c r="Q177" s="31">
        <v>1500062.4</v>
      </c>
      <c r="R177" s="31">
        <v>1500062.4</v>
      </c>
      <c r="S177" s="31">
        <v>1500062.4</v>
      </c>
      <c r="T177" s="31">
        <v>1500062.4</v>
      </c>
      <c r="U177" s="32"/>
      <c r="V177" s="32"/>
      <c r="W177" s="32"/>
      <c r="X177" s="32"/>
      <c r="Y177" s="33"/>
      <c r="Z177" s="33"/>
      <c r="AA177" s="33"/>
      <c r="AB177" s="33"/>
      <c r="AC177" s="33"/>
      <c r="AD177" s="31">
        <v>1500062.4</v>
      </c>
      <c r="AE177" s="31">
        <v>1500062.4</v>
      </c>
      <c r="AF177" s="31">
        <v>1500062.4</v>
      </c>
      <c r="AG177" s="31">
        <v>1500062.4</v>
      </c>
      <c r="AH177" s="31">
        <v>1500062.4</v>
      </c>
      <c r="AI177" s="32"/>
      <c r="AJ177" s="32"/>
      <c r="AK177" s="33"/>
      <c r="AL177" s="33"/>
      <c r="AM177" s="33"/>
      <c r="AN177" s="31">
        <v>1500062.4</v>
      </c>
      <c r="AO177" s="31">
        <v>1500062.4</v>
      </c>
      <c r="AP177" s="31">
        <v>1500062.4</v>
      </c>
      <c r="AQ177" s="31">
        <v>1500062.4</v>
      </c>
      <c r="AR177" s="32"/>
      <c r="AS177" s="32"/>
      <c r="AT177" s="33"/>
      <c r="AU177" s="33"/>
      <c r="AV177" s="31">
        <v>1500062.4</v>
      </c>
      <c r="AW177" s="31">
        <v>1500062.4</v>
      </c>
      <c r="AX177" s="31">
        <v>1500062.4</v>
      </c>
      <c r="AY177" s="32"/>
      <c r="AZ177" s="32"/>
      <c r="BA177" s="33"/>
      <c r="BB177" s="33"/>
      <c r="BC177" s="31">
        <v>1500062.4</v>
      </c>
      <c r="BD177" s="31">
        <v>1500062.4</v>
      </c>
    </row>
    <row r="178" spans="1:56" x14ac:dyDescent="0.3">
      <c r="A178" s="43"/>
      <c r="B178" s="44"/>
      <c r="C178" s="12"/>
      <c r="D178" s="7"/>
      <c r="E178" s="7"/>
      <c r="F178" s="7"/>
      <c r="G178" s="32"/>
      <c r="H178" s="32"/>
      <c r="I178" s="32"/>
      <c r="J178" s="32"/>
      <c r="K178" s="32"/>
      <c r="L178" s="33"/>
      <c r="M178" s="33"/>
      <c r="N178" s="33"/>
      <c r="O178" s="33"/>
      <c r="P178" s="33"/>
      <c r="Q178" s="34"/>
      <c r="R178" s="34"/>
      <c r="S178" s="34"/>
      <c r="T178" s="34"/>
      <c r="U178" s="32"/>
      <c r="V178" s="32"/>
      <c r="W178" s="32"/>
      <c r="X178" s="32"/>
      <c r="Y178" s="33"/>
      <c r="Z178" s="33"/>
      <c r="AA178" s="33"/>
      <c r="AB178" s="33"/>
      <c r="AC178" s="33"/>
      <c r="AD178" s="34"/>
      <c r="AE178" s="34"/>
      <c r="AF178" s="34"/>
      <c r="AG178" s="34"/>
      <c r="AH178" s="34"/>
      <c r="AI178" s="32"/>
      <c r="AJ178" s="32"/>
      <c r="AK178" s="33"/>
      <c r="AL178" s="33"/>
      <c r="AM178" s="33"/>
      <c r="AN178" s="34"/>
      <c r="AO178" s="34"/>
      <c r="AP178" s="34"/>
      <c r="AQ178" s="34"/>
      <c r="AR178" s="32"/>
      <c r="AS178" s="32"/>
      <c r="AT178" s="33"/>
      <c r="AU178" s="33"/>
      <c r="AV178" s="34"/>
      <c r="AW178" s="34"/>
      <c r="AX178" s="34"/>
      <c r="AY178" s="32"/>
      <c r="AZ178" s="32"/>
      <c r="BA178" s="33"/>
      <c r="BB178" s="33"/>
      <c r="BC178" s="34"/>
      <c r="BD178" s="34"/>
    </row>
    <row r="179" spans="1:56" x14ac:dyDescent="0.3">
      <c r="A179" s="43"/>
      <c r="B179" s="46" t="s">
        <v>329</v>
      </c>
      <c r="C179" s="10" t="s">
        <v>330</v>
      </c>
      <c r="D179" s="3" t="s">
        <v>331</v>
      </c>
      <c r="E179" s="3" t="s">
        <v>332</v>
      </c>
      <c r="F179" s="3" t="s">
        <v>106</v>
      </c>
      <c r="G179" s="29">
        <v>2500104</v>
      </c>
      <c r="H179" s="29">
        <v>2500104</v>
      </c>
      <c r="I179" s="29">
        <v>2500104</v>
      </c>
      <c r="J179" s="29">
        <v>2500104</v>
      </c>
      <c r="K179" s="29">
        <v>2500104</v>
      </c>
      <c r="L179" s="33"/>
      <c r="M179" s="33"/>
      <c r="N179" s="33"/>
      <c r="O179" s="33"/>
      <c r="P179" s="33"/>
      <c r="Q179" s="34"/>
      <c r="R179" s="34"/>
      <c r="S179" s="34"/>
      <c r="T179" s="34"/>
      <c r="U179" s="29">
        <v>2500104</v>
      </c>
      <c r="V179" s="29">
        <v>2500104</v>
      </c>
      <c r="W179" s="29">
        <v>2500104</v>
      </c>
      <c r="X179" s="29">
        <v>2500104</v>
      </c>
      <c r="Y179" s="33"/>
      <c r="Z179" s="33"/>
      <c r="AA179" s="33"/>
      <c r="AB179" s="33"/>
      <c r="AC179" s="33"/>
      <c r="AD179" s="34"/>
      <c r="AE179" s="34"/>
      <c r="AF179" s="34"/>
      <c r="AG179" s="34"/>
      <c r="AH179" s="34"/>
      <c r="AI179" s="29">
        <v>2500104</v>
      </c>
      <c r="AJ179" s="29">
        <v>2500104</v>
      </c>
      <c r="AK179" s="33"/>
      <c r="AL179" s="33"/>
      <c r="AM179" s="33"/>
      <c r="AN179" s="34"/>
      <c r="AO179" s="34"/>
      <c r="AP179" s="34"/>
      <c r="AQ179" s="34"/>
      <c r="AR179" s="29">
        <v>2500104</v>
      </c>
      <c r="AS179" s="29">
        <v>2500104</v>
      </c>
      <c r="AT179" s="33"/>
      <c r="AU179" s="33"/>
      <c r="AV179" s="34"/>
      <c r="AW179" s="34"/>
      <c r="AX179" s="34"/>
      <c r="AY179" s="29">
        <v>2500104</v>
      </c>
      <c r="AZ179" s="29">
        <v>2500104</v>
      </c>
      <c r="BA179" s="33"/>
      <c r="BB179" s="33"/>
      <c r="BC179" s="34"/>
      <c r="BD179" s="34"/>
    </row>
    <row r="180" spans="1:56" x14ac:dyDescent="0.3">
      <c r="A180" s="43"/>
      <c r="B180" s="43"/>
      <c r="C180" s="10" t="s">
        <v>330</v>
      </c>
      <c r="D180" s="3" t="s">
        <v>333</v>
      </c>
      <c r="E180" s="3" t="s">
        <v>334</v>
      </c>
      <c r="F180" s="3" t="s">
        <v>76</v>
      </c>
      <c r="G180" s="29">
        <v>2000083.2</v>
      </c>
      <c r="H180" s="29">
        <v>2000083.2</v>
      </c>
      <c r="I180" s="29">
        <v>2000083.2</v>
      </c>
      <c r="J180" s="29">
        <v>2000083.2</v>
      </c>
      <c r="K180" s="29">
        <v>2000083.2</v>
      </c>
      <c r="L180" s="33"/>
      <c r="M180" s="33"/>
      <c r="N180" s="33"/>
      <c r="O180" s="33"/>
      <c r="P180" s="33"/>
      <c r="Q180" s="34"/>
      <c r="R180" s="34"/>
      <c r="S180" s="34"/>
      <c r="T180" s="34"/>
      <c r="U180" s="29">
        <v>2000083.2</v>
      </c>
      <c r="V180" s="29">
        <v>2000083.2</v>
      </c>
      <c r="W180" s="29">
        <v>2000083.2</v>
      </c>
      <c r="X180" s="29">
        <v>2000083.2</v>
      </c>
      <c r="Y180" s="33"/>
      <c r="Z180" s="33"/>
      <c r="AA180" s="33"/>
      <c r="AB180" s="33"/>
      <c r="AC180" s="33"/>
      <c r="AD180" s="34"/>
      <c r="AE180" s="34"/>
      <c r="AF180" s="34"/>
      <c r="AG180" s="34"/>
      <c r="AH180" s="34"/>
      <c r="AI180" s="29">
        <v>2000083.2</v>
      </c>
      <c r="AJ180" s="29">
        <v>2000083.2</v>
      </c>
      <c r="AK180" s="33"/>
      <c r="AL180" s="33"/>
      <c r="AM180" s="33"/>
      <c r="AN180" s="34"/>
      <c r="AO180" s="34"/>
      <c r="AP180" s="34"/>
      <c r="AQ180" s="34"/>
      <c r="AR180" s="29">
        <v>2000083.2</v>
      </c>
      <c r="AS180" s="29">
        <v>2000083.2</v>
      </c>
      <c r="AT180" s="33"/>
      <c r="AU180" s="33"/>
      <c r="AV180" s="34"/>
      <c r="AW180" s="34"/>
      <c r="AX180" s="34"/>
      <c r="AY180" s="29">
        <v>2000083.2</v>
      </c>
      <c r="AZ180" s="29">
        <v>2000083.2</v>
      </c>
      <c r="BA180" s="33"/>
      <c r="BB180" s="33"/>
      <c r="BC180" s="34"/>
      <c r="BD180" s="34"/>
    </row>
    <row r="181" spans="1:56" x14ac:dyDescent="0.3">
      <c r="A181" s="43"/>
      <c r="B181" s="44"/>
      <c r="C181" s="12"/>
      <c r="D181" s="7"/>
      <c r="E181" s="7"/>
      <c r="F181" s="7"/>
      <c r="G181" s="32"/>
      <c r="H181" s="32"/>
      <c r="I181" s="32"/>
      <c r="J181" s="32"/>
      <c r="K181" s="32"/>
      <c r="L181" s="33"/>
      <c r="M181" s="33"/>
      <c r="N181" s="33"/>
      <c r="O181" s="33"/>
      <c r="P181" s="33"/>
      <c r="Q181" s="34"/>
      <c r="R181" s="34"/>
      <c r="S181" s="34"/>
      <c r="T181" s="34"/>
      <c r="U181" s="32"/>
      <c r="V181" s="32"/>
      <c r="W181" s="32"/>
      <c r="X181" s="32"/>
      <c r="Y181" s="33"/>
      <c r="Z181" s="33"/>
      <c r="AA181" s="33"/>
      <c r="AB181" s="33"/>
      <c r="AC181" s="33"/>
      <c r="AD181" s="34"/>
      <c r="AE181" s="34"/>
      <c r="AF181" s="34"/>
      <c r="AG181" s="34"/>
      <c r="AH181" s="34"/>
      <c r="AI181" s="32"/>
      <c r="AJ181" s="32"/>
      <c r="AK181" s="33"/>
      <c r="AL181" s="33"/>
      <c r="AM181" s="33"/>
      <c r="AN181" s="34"/>
      <c r="AO181" s="34"/>
      <c r="AP181" s="34"/>
      <c r="AQ181" s="34"/>
      <c r="AR181" s="32"/>
      <c r="AS181" s="32"/>
      <c r="AT181" s="33"/>
      <c r="AU181" s="33"/>
      <c r="AV181" s="34"/>
      <c r="AW181" s="34"/>
      <c r="AX181" s="34"/>
      <c r="AY181" s="32"/>
      <c r="AZ181" s="32"/>
      <c r="BA181" s="33"/>
      <c r="BB181" s="33"/>
      <c r="BC181" s="34"/>
      <c r="BD181" s="34"/>
    </row>
    <row r="182" spans="1:56" x14ac:dyDescent="0.3">
      <c r="A182" s="43"/>
      <c r="B182" s="46" t="s">
        <v>335</v>
      </c>
      <c r="C182" s="11" t="s">
        <v>336</v>
      </c>
      <c r="D182" s="6" t="s">
        <v>337</v>
      </c>
      <c r="E182" s="6" t="s">
        <v>338</v>
      </c>
      <c r="F182" s="6" t="s">
        <v>138</v>
      </c>
      <c r="G182" s="32"/>
      <c r="H182" s="32"/>
      <c r="I182" s="32"/>
      <c r="J182" s="32"/>
      <c r="K182" s="32"/>
      <c r="L182" s="30">
        <v>975040.56</v>
      </c>
      <c r="M182" s="30">
        <v>975040.56</v>
      </c>
      <c r="N182" s="30">
        <v>975040.56</v>
      </c>
      <c r="O182" s="30">
        <v>975040.56</v>
      </c>
      <c r="P182" s="30">
        <v>975040.56</v>
      </c>
      <c r="Q182" s="34"/>
      <c r="R182" s="34"/>
      <c r="S182" s="34"/>
      <c r="T182" s="34"/>
      <c r="U182" s="32"/>
      <c r="V182" s="32"/>
      <c r="W182" s="32"/>
      <c r="X182" s="32"/>
      <c r="Y182" s="30">
        <v>975040.56</v>
      </c>
      <c r="Z182" s="30">
        <v>975040.56</v>
      </c>
      <c r="AA182" s="30">
        <v>975040.56</v>
      </c>
      <c r="AB182" s="30">
        <v>975040.56</v>
      </c>
      <c r="AC182" s="30">
        <v>975040.56</v>
      </c>
      <c r="AD182" s="34"/>
      <c r="AE182" s="34"/>
      <c r="AF182" s="34"/>
      <c r="AG182" s="34"/>
      <c r="AH182" s="34"/>
      <c r="AI182" s="32"/>
      <c r="AJ182" s="32"/>
      <c r="AK182" s="30">
        <v>975040.56</v>
      </c>
      <c r="AL182" s="30">
        <v>975040.56</v>
      </c>
      <c r="AM182" s="30">
        <v>975040.56</v>
      </c>
      <c r="AN182" s="34"/>
      <c r="AO182" s="34"/>
      <c r="AP182" s="34"/>
      <c r="AQ182" s="34"/>
      <c r="AR182" s="32"/>
      <c r="AS182" s="32"/>
      <c r="AT182" s="30">
        <v>975040.56</v>
      </c>
      <c r="AU182" s="30">
        <v>975040.56</v>
      </c>
      <c r="AV182" s="34"/>
      <c r="AW182" s="34"/>
      <c r="AX182" s="34"/>
      <c r="AY182" s="32"/>
      <c r="AZ182" s="32"/>
      <c r="BA182" s="30">
        <v>975040.56</v>
      </c>
      <c r="BB182" s="30">
        <v>975040.56</v>
      </c>
      <c r="BC182" s="34"/>
      <c r="BD182" s="34"/>
    </row>
    <row r="183" spans="1:56" x14ac:dyDescent="0.3">
      <c r="A183" s="43"/>
      <c r="B183" s="43"/>
      <c r="C183" s="10" t="s">
        <v>336</v>
      </c>
      <c r="D183" s="3" t="s">
        <v>339</v>
      </c>
      <c r="E183" s="3" t="s">
        <v>340</v>
      </c>
      <c r="F183" s="3" t="s">
        <v>76</v>
      </c>
      <c r="G183" s="32"/>
      <c r="H183" s="32"/>
      <c r="I183" s="32"/>
      <c r="J183" s="32"/>
      <c r="K183" s="32"/>
      <c r="L183" s="30">
        <v>536272.30799999996</v>
      </c>
      <c r="M183" s="30">
        <v>536272.30799999996</v>
      </c>
      <c r="N183" s="30">
        <v>536272.30799999996</v>
      </c>
      <c r="O183" s="30">
        <v>536272.30799999996</v>
      </c>
      <c r="P183" s="30">
        <v>536272.30799999996</v>
      </c>
      <c r="Q183" s="34"/>
      <c r="R183" s="34"/>
      <c r="S183" s="34"/>
      <c r="T183" s="34"/>
      <c r="U183" s="32"/>
      <c r="V183" s="32"/>
      <c r="W183" s="32"/>
      <c r="X183" s="32"/>
      <c r="Y183" s="30">
        <v>536272.30799999996</v>
      </c>
      <c r="Z183" s="30">
        <v>536272.30799999996</v>
      </c>
      <c r="AA183" s="30">
        <v>536272.30799999996</v>
      </c>
      <c r="AB183" s="30">
        <v>536272.30799999996</v>
      </c>
      <c r="AC183" s="30">
        <v>536272.30799999996</v>
      </c>
      <c r="AD183" s="34"/>
      <c r="AE183" s="34"/>
      <c r="AF183" s="34"/>
      <c r="AG183" s="34"/>
      <c r="AH183" s="34"/>
      <c r="AI183" s="32"/>
      <c r="AJ183" s="32"/>
      <c r="AK183" s="30">
        <v>536272.30799999996</v>
      </c>
      <c r="AL183" s="30">
        <v>536272.30799999996</v>
      </c>
      <c r="AM183" s="30">
        <v>536272.30799999996</v>
      </c>
      <c r="AN183" s="34"/>
      <c r="AO183" s="34"/>
      <c r="AP183" s="34"/>
      <c r="AQ183" s="34"/>
      <c r="AR183" s="32"/>
      <c r="AS183" s="32"/>
      <c r="AT183" s="30">
        <v>536272.30799999996</v>
      </c>
      <c r="AU183" s="30">
        <v>536272.30799999996</v>
      </c>
      <c r="AV183" s="34"/>
      <c r="AW183" s="34"/>
      <c r="AX183" s="34"/>
      <c r="AY183" s="32"/>
      <c r="AZ183" s="32"/>
      <c r="BA183" s="30">
        <v>536272.30799999996</v>
      </c>
      <c r="BB183" s="30">
        <v>536272.30799999996</v>
      </c>
      <c r="BC183" s="34"/>
      <c r="BD183" s="34"/>
    </row>
    <row r="184" spans="1:56" x14ac:dyDescent="0.3">
      <c r="A184" s="43"/>
      <c r="B184" s="44"/>
      <c r="C184" s="12"/>
      <c r="D184" s="7"/>
      <c r="E184" s="7"/>
      <c r="F184" s="7"/>
      <c r="G184" s="32"/>
      <c r="H184" s="32"/>
      <c r="I184" s="32"/>
      <c r="J184" s="32"/>
      <c r="K184" s="32"/>
      <c r="L184" s="33"/>
      <c r="M184" s="33"/>
      <c r="N184" s="33"/>
      <c r="O184" s="33"/>
      <c r="P184" s="33"/>
      <c r="Q184" s="34"/>
      <c r="R184" s="34"/>
      <c r="S184" s="34"/>
      <c r="T184" s="34"/>
      <c r="U184" s="32"/>
      <c r="V184" s="32"/>
      <c r="W184" s="32"/>
      <c r="X184" s="32"/>
      <c r="Y184" s="33"/>
      <c r="Z184" s="33"/>
      <c r="AA184" s="33"/>
      <c r="AB184" s="33"/>
      <c r="AC184" s="33"/>
      <c r="AD184" s="34"/>
      <c r="AE184" s="34"/>
      <c r="AF184" s="34"/>
      <c r="AG184" s="34"/>
      <c r="AH184" s="34"/>
      <c r="AI184" s="32"/>
      <c r="AJ184" s="32"/>
      <c r="AK184" s="33"/>
      <c r="AL184" s="33"/>
      <c r="AM184" s="33"/>
      <c r="AN184" s="34"/>
      <c r="AO184" s="34"/>
      <c r="AP184" s="34"/>
      <c r="AQ184" s="34"/>
      <c r="AR184" s="32"/>
      <c r="AS184" s="32"/>
      <c r="AT184" s="33"/>
      <c r="AU184" s="33"/>
      <c r="AV184" s="34"/>
      <c r="AW184" s="34"/>
      <c r="AX184" s="34"/>
      <c r="AY184" s="32"/>
      <c r="AZ184" s="32"/>
      <c r="BA184" s="33"/>
      <c r="BB184" s="33"/>
      <c r="BC184" s="34"/>
      <c r="BD184" s="34"/>
    </row>
    <row r="185" spans="1:56" x14ac:dyDescent="0.3">
      <c r="A185" s="43"/>
      <c r="B185" s="46" t="s">
        <v>341</v>
      </c>
      <c r="C185" s="11" t="s">
        <v>342</v>
      </c>
      <c r="D185" s="6" t="s">
        <v>343</v>
      </c>
      <c r="E185" s="6" t="s">
        <v>344</v>
      </c>
      <c r="F185" s="6" t="s">
        <v>135</v>
      </c>
      <c r="G185" s="32"/>
      <c r="H185" s="32"/>
      <c r="I185" s="32"/>
      <c r="J185" s="32"/>
      <c r="K185" s="32"/>
      <c r="L185" s="30">
        <v>2500104</v>
      </c>
      <c r="M185" s="30">
        <v>2500104</v>
      </c>
      <c r="N185" s="30">
        <v>2500104</v>
      </c>
      <c r="O185" s="30">
        <v>2500104</v>
      </c>
      <c r="P185" s="30">
        <v>2500104</v>
      </c>
      <c r="Q185" s="34"/>
      <c r="R185" s="34"/>
      <c r="S185" s="34"/>
      <c r="T185" s="34"/>
      <c r="U185" s="32"/>
      <c r="V185" s="32"/>
      <c r="W185" s="32"/>
      <c r="X185" s="32"/>
      <c r="Y185" s="30">
        <v>2500104</v>
      </c>
      <c r="Z185" s="30">
        <v>2500104</v>
      </c>
      <c r="AA185" s="30">
        <v>2500104</v>
      </c>
      <c r="AB185" s="30">
        <v>2500104</v>
      </c>
      <c r="AC185" s="30">
        <v>2500104</v>
      </c>
      <c r="AD185" s="34"/>
      <c r="AE185" s="34"/>
      <c r="AF185" s="34"/>
      <c r="AG185" s="34"/>
      <c r="AH185" s="34"/>
      <c r="AI185" s="32"/>
      <c r="AJ185" s="32"/>
      <c r="AK185" s="30">
        <v>2500104</v>
      </c>
      <c r="AL185" s="30">
        <v>2500104</v>
      </c>
      <c r="AM185" s="30">
        <v>2500104</v>
      </c>
      <c r="AN185" s="34"/>
      <c r="AO185" s="34"/>
      <c r="AP185" s="34"/>
      <c r="AQ185" s="34"/>
      <c r="AR185" s="32"/>
      <c r="AS185" s="32"/>
      <c r="AT185" s="30">
        <v>2500104</v>
      </c>
      <c r="AU185" s="30">
        <v>2500104</v>
      </c>
      <c r="AV185" s="34"/>
      <c r="AW185" s="34"/>
      <c r="AX185" s="34"/>
      <c r="AY185" s="32"/>
      <c r="AZ185" s="32"/>
      <c r="BA185" s="30">
        <v>2500104</v>
      </c>
      <c r="BB185" s="30">
        <v>2500104</v>
      </c>
      <c r="BC185" s="34"/>
      <c r="BD185" s="34"/>
    </row>
    <row r="186" spans="1:56" x14ac:dyDescent="0.3">
      <c r="A186" s="43"/>
      <c r="B186" s="43"/>
      <c r="C186" s="10" t="s">
        <v>342</v>
      </c>
      <c r="D186" s="3" t="s">
        <v>345</v>
      </c>
      <c r="E186" s="3" t="s">
        <v>346</v>
      </c>
      <c r="F186" s="3" t="s">
        <v>76</v>
      </c>
      <c r="G186" s="32"/>
      <c r="H186" s="32"/>
      <c r="I186" s="32"/>
      <c r="J186" s="32"/>
      <c r="K186" s="32"/>
      <c r="L186" s="30">
        <v>5500228.7999999998</v>
      </c>
      <c r="M186" s="30">
        <v>5500228.7999999998</v>
      </c>
      <c r="N186" s="30">
        <v>5500228.7999999998</v>
      </c>
      <c r="O186" s="30">
        <v>5500228.7999999998</v>
      </c>
      <c r="P186" s="30">
        <v>5500228.7999999998</v>
      </c>
      <c r="Q186" s="34"/>
      <c r="R186" s="34"/>
      <c r="S186" s="34"/>
      <c r="T186" s="34"/>
      <c r="U186" s="32"/>
      <c r="V186" s="32"/>
      <c r="W186" s="32"/>
      <c r="X186" s="32"/>
      <c r="Y186" s="30">
        <v>5500228.7999999998</v>
      </c>
      <c r="Z186" s="30">
        <v>5500228.7999999998</v>
      </c>
      <c r="AA186" s="30">
        <v>5500228.7999999998</v>
      </c>
      <c r="AB186" s="30">
        <v>5500228.7999999998</v>
      </c>
      <c r="AC186" s="30">
        <v>5500228.7999999998</v>
      </c>
      <c r="AD186" s="34"/>
      <c r="AE186" s="34"/>
      <c r="AF186" s="34"/>
      <c r="AG186" s="34"/>
      <c r="AH186" s="34"/>
      <c r="AI186" s="32"/>
      <c r="AJ186" s="32"/>
      <c r="AK186" s="30">
        <v>5500228.7999999998</v>
      </c>
      <c r="AL186" s="30">
        <v>5500228.7999999998</v>
      </c>
      <c r="AM186" s="30">
        <v>5500228.7999999998</v>
      </c>
      <c r="AN186" s="34"/>
      <c r="AO186" s="34"/>
      <c r="AP186" s="34"/>
      <c r="AQ186" s="34"/>
      <c r="AR186" s="32"/>
      <c r="AS186" s="32"/>
      <c r="AT186" s="30">
        <v>5500228.7999999998</v>
      </c>
      <c r="AU186" s="30">
        <v>5500228.7999999998</v>
      </c>
      <c r="AV186" s="34"/>
      <c r="AW186" s="34"/>
      <c r="AX186" s="34"/>
      <c r="AY186" s="32"/>
      <c r="AZ186" s="32"/>
      <c r="BA186" s="30">
        <v>5500228.7999999998</v>
      </c>
      <c r="BB186" s="30">
        <v>5500228.7999999998</v>
      </c>
      <c r="BC186" s="34"/>
      <c r="BD186" s="34"/>
    </row>
    <row r="187" spans="1:56" x14ac:dyDescent="0.3">
      <c r="A187" s="43"/>
      <c r="B187" s="44"/>
      <c r="C187" s="12"/>
      <c r="D187" s="7"/>
      <c r="E187" s="7"/>
      <c r="F187" s="7"/>
      <c r="G187" s="32"/>
      <c r="H187" s="32"/>
      <c r="I187" s="32"/>
      <c r="J187" s="32"/>
      <c r="K187" s="32"/>
      <c r="L187" s="33"/>
      <c r="M187" s="33"/>
      <c r="N187" s="33"/>
      <c r="O187" s="33"/>
      <c r="P187" s="33"/>
      <c r="Q187" s="34"/>
      <c r="R187" s="34"/>
      <c r="S187" s="34"/>
      <c r="T187" s="34"/>
      <c r="U187" s="32"/>
      <c r="V187" s="32"/>
      <c r="W187" s="32"/>
      <c r="X187" s="32"/>
      <c r="Y187" s="33"/>
      <c r="Z187" s="33"/>
      <c r="AA187" s="33"/>
      <c r="AB187" s="33"/>
      <c r="AC187" s="33"/>
      <c r="AD187" s="34"/>
      <c r="AE187" s="34"/>
      <c r="AF187" s="34"/>
      <c r="AG187" s="34"/>
      <c r="AH187" s="34"/>
      <c r="AI187" s="32"/>
      <c r="AJ187" s="32"/>
      <c r="AK187" s="33"/>
      <c r="AL187" s="33"/>
      <c r="AM187" s="33"/>
      <c r="AN187" s="34"/>
      <c r="AO187" s="34"/>
      <c r="AP187" s="34"/>
      <c r="AQ187" s="34"/>
      <c r="AR187" s="32"/>
      <c r="AS187" s="32"/>
      <c r="AT187" s="33"/>
      <c r="AU187" s="33"/>
      <c r="AV187" s="34"/>
      <c r="AW187" s="34"/>
      <c r="AX187" s="34"/>
      <c r="AY187" s="32"/>
      <c r="AZ187" s="32"/>
      <c r="BA187" s="33"/>
      <c r="BB187" s="33"/>
      <c r="BC187" s="34"/>
      <c r="BD187" s="34"/>
    </row>
    <row r="188" spans="1:56" x14ac:dyDescent="0.3">
      <c r="A188" s="43"/>
      <c r="B188" s="49" t="s">
        <v>347</v>
      </c>
      <c r="C188" s="10" t="s">
        <v>348</v>
      </c>
      <c r="D188" s="3" t="s">
        <v>349</v>
      </c>
      <c r="E188" s="3" t="s">
        <v>350</v>
      </c>
      <c r="F188" s="3" t="s">
        <v>197</v>
      </c>
      <c r="G188" s="32"/>
      <c r="H188" s="32"/>
      <c r="I188" s="32"/>
      <c r="J188" s="32"/>
      <c r="K188" s="32"/>
      <c r="L188" s="33"/>
      <c r="M188" s="33"/>
      <c r="N188" s="33"/>
      <c r="O188" s="33"/>
      <c r="P188" s="33"/>
      <c r="Q188" s="34"/>
      <c r="R188" s="34"/>
      <c r="S188" s="34"/>
      <c r="T188" s="34"/>
      <c r="U188" s="32"/>
      <c r="V188" s="32"/>
      <c r="W188" s="32"/>
      <c r="X188" s="32"/>
      <c r="Y188" s="33"/>
      <c r="Z188" s="33"/>
      <c r="AA188" s="33"/>
      <c r="AB188" s="33"/>
      <c r="AC188" s="33"/>
      <c r="AD188" s="34"/>
      <c r="AE188" s="34"/>
      <c r="AF188" s="34"/>
      <c r="AG188" s="34"/>
      <c r="AH188" s="34"/>
      <c r="AI188" s="32"/>
      <c r="AJ188" s="32"/>
      <c r="AK188" s="33"/>
      <c r="AL188" s="33"/>
      <c r="AM188" s="33"/>
      <c r="AN188" s="34"/>
      <c r="AO188" s="34"/>
      <c r="AP188" s="34"/>
      <c r="AQ188" s="34"/>
      <c r="AR188" s="32"/>
      <c r="AS188" s="32"/>
      <c r="AT188" s="33"/>
      <c r="AU188" s="33"/>
      <c r="AV188" s="34"/>
      <c r="AW188" s="34"/>
      <c r="AX188" s="34"/>
      <c r="AY188" s="32"/>
      <c r="AZ188" s="32"/>
      <c r="BA188" s="33"/>
      <c r="BB188" s="33"/>
      <c r="BC188" s="34"/>
      <c r="BD188" s="34"/>
    </row>
    <row r="189" spans="1:56" x14ac:dyDescent="0.3">
      <c r="A189" s="43"/>
      <c r="B189" s="43"/>
      <c r="C189" s="10" t="s">
        <v>348</v>
      </c>
      <c r="D189" s="3" t="s">
        <v>351</v>
      </c>
      <c r="E189" s="3" t="s">
        <v>352</v>
      </c>
      <c r="F189" s="3" t="s">
        <v>76</v>
      </c>
      <c r="G189" s="32"/>
      <c r="H189" s="32"/>
      <c r="I189" s="32"/>
      <c r="J189" s="32"/>
      <c r="K189" s="32"/>
      <c r="L189" s="33"/>
      <c r="M189" s="33"/>
      <c r="N189" s="33"/>
      <c r="O189" s="33"/>
      <c r="P189" s="33"/>
      <c r="Q189" s="34"/>
      <c r="R189" s="34"/>
      <c r="S189" s="34"/>
      <c r="T189" s="34"/>
      <c r="U189" s="32"/>
      <c r="V189" s="32"/>
      <c r="W189" s="32"/>
      <c r="X189" s="32"/>
      <c r="Y189" s="33"/>
      <c r="Z189" s="33"/>
      <c r="AA189" s="33"/>
      <c r="AB189" s="33"/>
      <c r="AC189" s="33"/>
      <c r="AD189" s="34"/>
      <c r="AE189" s="34"/>
      <c r="AF189" s="34"/>
      <c r="AG189" s="34"/>
      <c r="AH189" s="34"/>
      <c r="AI189" s="32"/>
      <c r="AJ189" s="32"/>
      <c r="AK189" s="33"/>
      <c r="AL189" s="33"/>
      <c r="AM189" s="33"/>
      <c r="AN189" s="34"/>
      <c r="AO189" s="34"/>
      <c r="AP189" s="34"/>
      <c r="AQ189" s="34"/>
      <c r="AR189" s="32"/>
      <c r="AS189" s="32"/>
      <c r="AT189" s="33"/>
      <c r="AU189" s="33"/>
      <c r="AV189" s="34"/>
      <c r="AW189" s="34"/>
      <c r="AX189" s="34"/>
      <c r="AY189" s="32"/>
      <c r="AZ189" s="32"/>
      <c r="BA189" s="33"/>
      <c r="BB189" s="33"/>
      <c r="BC189" s="34"/>
      <c r="BD189" s="34"/>
    </row>
    <row r="190" spans="1:56" ht="15" customHeight="1" thickBot="1" x14ac:dyDescent="0.35">
      <c r="A190" s="48"/>
      <c r="B190" s="21"/>
      <c r="C190" s="18"/>
      <c r="D190" s="8"/>
      <c r="E190" s="8"/>
      <c r="F190" s="8"/>
      <c r="G190" s="32"/>
      <c r="H190" s="32"/>
      <c r="I190" s="32"/>
      <c r="J190" s="32"/>
      <c r="K190" s="32"/>
      <c r="L190" s="33"/>
      <c r="M190" s="33"/>
      <c r="N190" s="33"/>
      <c r="O190" s="33"/>
      <c r="P190" s="33"/>
      <c r="Q190" s="34"/>
      <c r="R190" s="34"/>
      <c r="S190" s="34"/>
      <c r="T190" s="34"/>
      <c r="U190" s="32"/>
      <c r="V190" s="32"/>
      <c r="W190" s="32"/>
      <c r="X190" s="32"/>
      <c r="Y190" s="33"/>
      <c r="Z190" s="33"/>
      <c r="AA190" s="33"/>
      <c r="AB190" s="33"/>
      <c r="AC190" s="33"/>
      <c r="AD190" s="34"/>
      <c r="AE190" s="34"/>
      <c r="AF190" s="34"/>
      <c r="AG190" s="34"/>
      <c r="AH190" s="34"/>
      <c r="AI190" s="32"/>
      <c r="AJ190" s="32"/>
      <c r="AK190" s="33"/>
      <c r="AL190" s="33"/>
      <c r="AM190" s="33"/>
      <c r="AN190" s="34"/>
      <c r="AO190" s="34"/>
      <c r="AP190" s="34"/>
      <c r="AQ190" s="34"/>
      <c r="AR190" s="32"/>
      <c r="AS190" s="32"/>
      <c r="AT190" s="33"/>
      <c r="AU190" s="33"/>
      <c r="AV190" s="34"/>
      <c r="AW190" s="34"/>
      <c r="AX190" s="34"/>
      <c r="AY190" s="32"/>
      <c r="AZ190" s="32"/>
      <c r="BA190" s="33"/>
      <c r="BB190" s="33"/>
      <c r="BC190" s="34"/>
      <c r="BD190" s="34"/>
    </row>
    <row r="191" spans="1:56" x14ac:dyDescent="0.3">
      <c r="A191" s="52" t="s">
        <v>353</v>
      </c>
      <c r="B191" s="45" t="s">
        <v>354</v>
      </c>
      <c r="C191" s="9" t="s">
        <v>355</v>
      </c>
      <c r="D191" s="4" t="s">
        <v>356</v>
      </c>
      <c r="E191" s="4" t="s">
        <v>357</v>
      </c>
      <c r="F191" s="4" t="s">
        <v>73</v>
      </c>
      <c r="G191" s="29">
        <v>62724740.915048003</v>
      </c>
      <c r="H191" s="29">
        <v>48651668.771135002</v>
      </c>
      <c r="I191" s="29">
        <v>32476159.323741</v>
      </c>
      <c r="J191" s="29">
        <v>32476159.323741</v>
      </c>
      <c r="K191" s="29">
        <v>26413788.660721</v>
      </c>
      <c r="L191" s="30">
        <v>438453386.78220803</v>
      </c>
      <c r="M191" s="30">
        <v>279958612.833</v>
      </c>
      <c r="N191" s="30">
        <v>260598786.26360399</v>
      </c>
      <c r="O191" s="30">
        <v>187083882.86594</v>
      </c>
      <c r="P191" s="30">
        <v>177105402.7969</v>
      </c>
      <c r="Q191" s="31">
        <v>70805762.720130995</v>
      </c>
      <c r="R191" s="31">
        <v>54940990.026831999</v>
      </c>
      <c r="S191" s="31">
        <v>49385818.346855998</v>
      </c>
      <c r="T191" s="31">
        <v>32332528.501541998</v>
      </c>
      <c r="U191" s="29">
        <v>59362162.391949996</v>
      </c>
      <c r="V191" s="29">
        <v>45915281.870885</v>
      </c>
      <c r="W191" s="29">
        <v>30421945.004276</v>
      </c>
      <c r="X191" s="29">
        <v>30421945.004276</v>
      </c>
      <c r="Y191" s="30">
        <v>436298482.27864498</v>
      </c>
      <c r="Z191" s="30">
        <v>261631772.119284</v>
      </c>
      <c r="AA191" s="30">
        <v>242935869.84786299</v>
      </c>
      <c r="AB191" s="30">
        <v>172888758.48085999</v>
      </c>
      <c r="AC191" s="30">
        <v>162910278.41182101</v>
      </c>
      <c r="AD191" s="31">
        <v>67009319.337857001</v>
      </c>
      <c r="AE191" s="31">
        <v>51893925.022767998</v>
      </c>
      <c r="AF191" s="31">
        <v>46529353.453979</v>
      </c>
      <c r="AG191" s="31">
        <v>30089558.004916001</v>
      </c>
      <c r="AH191" s="31">
        <v>26674043.772498</v>
      </c>
      <c r="AI191" s="29">
        <v>66577730.459261</v>
      </c>
      <c r="AJ191" s="29">
        <v>49698093.163172998</v>
      </c>
      <c r="AK191" s="30">
        <v>456204070.149077</v>
      </c>
      <c r="AL191" s="30">
        <v>294170680.58805501</v>
      </c>
      <c r="AM191" s="30">
        <v>274258861.09750599</v>
      </c>
      <c r="AN191" s="31">
        <v>75167460.200323999</v>
      </c>
      <c r="AO191" s="31">
        <v>56229894.793333001</v>
      </c>
      <c r="AP191" s="31">
        <v>50515355.581929997</v>
      </c>
      <c r="AQ191" s="31">
        <v>31584055.757615998</v>
      </c>
      <c r="AR191" s="29">
        <v>42265511.995007001</v>
      </c>
      <c r="AS191" s="29">
        <v>29201272.805659</v>
      </c>
      <c r="AT191" s="30">
        <v>345254775.06478798</v>
      </c>
      <c r="AU191" s="30">
        <v>148426639.33095801</v>
      </c>
      <c r="AV191" s="31">
        <v>47491584.507592</v>
      </c>
      <c r="AW191" s="31">
        <v>32962253.554636002</v>
      </c>
      <c r="AX191" s="31">
        <v>35615045.885921001</v>
      </c>
      <c r="AY191" s="29">
        <v>72124975.023542002</v>
      </c>
      <c r="AZ191" s="29">
        <v>30898659.580680002</v>
      </c>
      <c r="BA191" s="30">
        <v>498723374.63279003</v>
      </c>
      <c r="BB191" s="30">
        <v>154406523.67382199</v>
      </c>
      <c r="BC191" s="31">
        <v>81216850.349836007</v>
      </c>
      <c r="BD191" s="31">
        <v>34727344.979836002</v>
      </c>
    </row>
    <row r="192" spans="1:56" x14ac:dyDescent="0.3">
      <c r="A192" s="43"/>
      <c r="B192" s="43"/>
      <c r="C192" s="10" t="s">
        <v>355</v>
      </c>
      <c r="D192" s="3" t="s">
        <v>358</v>
      </c>
      <c r="E192" s="3" t="s">
        <v>359</v>
      </c>
      <c r="F192" s="3" t="s">
        <v>73</v>
      </c>
      <c r="G192" s="29">
        <v>32518317.341327999</v>
      </c>
      <c r="H192" s="29">
        <v>24619055.377909999</v>
      </c>
      <c r="I192" s="29">
        <v>16058920.250538999</v>
      </c>
      <c r="J192" s="29">
        <v>16058920.250538999</v>
      </c>
      <c r="K192" s="29">
        <v>13470342.250538999</v>
      </c>
      <c r="L192" s="30">
        <v>238606275.97457501</v>
      </c>
      <c r="M192" s="30">
        <v>148050185.51160401</v>
      </c>
      <c r="N192" s="30">
        <v>135880343.56683999</v>
      </c>
      <c r="O192" s="30">
        <v>97277680.146653995</v>
      </c>
      <c r="P192" s="30">
        <v>91992072.146699995</v>
      </c>
      <c r="Q192" s="31">
        <v>37645236.329769999</v>
      </c>
      <c r="R192" s="31">
        <v>28747714.615150001</v>
      </c>
      <c r="S192" s="31">
        <v>25264431.050089002</v>
      </c>
      <c r="T192" s="31">
        <v>16229566.287659001</v>
      </c>
      <c r="U192" s="29">
        <v>30630785.783199001</v>
      </c>
      <c r="V192" s="29">
        <v>23129391.669991001</v>
      </c>
      <c r="W192" s="29">
        <v>14958512.901308</v>
      </c>
      <c r="X192" s="29">
        <v>14958512.901308</v>
      </c>
      <c r="Y192" s="30">
        <v>235717401.22305501</v>
      </c>
      <c r="Z192" s="30">
        <v>138069459.877334</v>
      </c>
      <c r="AA192" s="30">
        <v>126263085.651756</v>
      </c>
      <c r="AB192" s="30">
        <v>89665175.623008996</v>
      </c>
      <c r="AC192" s="30">
        <v>84379567.623008996</v>
      </c>
      <c r="AD192" s="31">
        <v>35499296.753551997</v>
      </c>
      <c r="AE192" s="31">
        <v>27085359.926151</v>
      </c>
      <c r="AF192" s="31">
        <v>23706783.948791999</v>
      </c>
      <c r="AG192" s="31">
        <v>15028784.43633</v>
      </c>
      <c r="AH192" s="31">
        <v>13570390.43633</v>
      </c>
      <c r="AI192" s="29">
        <v>34337562.487705998</v>
      </c>
      <c r="AJ192" s="29">
        <v>25175752.805707</v>
      </c>
      <c r="AK192" s="30">
        <v>248677241.76361299</v>
      </c>
      <c r="AL192" s="30">
        <v>155671022.606298</v>
      </c>
      <c r="AM192" s="30">
        <v>143174574.758757</v>
      </c>
      <c r="AN192" s="31">
        <v>39689895.798161</v>
      </c>
      <c r="AO192" s="31">
        <v>29443793.571385998</v>
      </c>
      <c r="AP192" s="31">
        <v>25869656.517007001</v>
      </c>
      <c r="AQ192" s="31">
        <v>15851382.044089001</v>
      </c>
      <c r="AR192" s="29">
        <v>20176494.327652998</v>
      </c>
      <c r="AS192" s="29">
        <v>13348791.667311</v>
      </c>
      <c r="AT192" s="30">
        <v>178178000.702981</v>
      </c>
      <c r="AU192" s="30">
        <v>73395941.825414002</v>
      </c>
      <c r="AV192" s="31">
        <v>23618306.847422</v>
      </c>
      <c r="AW192" s="31">
        <v>16037198.457053</v>
      </c>
      <c r="AX192" s="31">
        <v>18633761.590183001</v>
      </c>
      <c r="AY192" s="29">
        <v>29125553.715996999</v>
      </c>
      <c r="AZ192" s="29">
        <v>11947048.218596</v>
      </c>
      <c r="BA192" s="30">
        <v>212448406.10469499</v>
      </c>
      <c r="BB192" s="30">
        <v>65253455.101512998</v>
      </c>
      <c r="BC192" s="31">
        <v>33813563.209591001</v>
      </c>
      <c r="BD192" s="31">
        <v>14461293.289902</v>
      </c>
    </row>
    <row r="193" spans="1:56" x14ac:dyDescent="0.3">
      <c r="A193" s="43"/>
      <c r="B193" s="44"/>
      <c r="C193" s="12"/>
      <c r="D193" s="7"/>
      <c r="E193" s="7"/>
      <c r="F193" s="7"/>
      <c r="G193" s="32"/>
      <c r="H193" s="32"/>
      <c r="I193" s="32"/>
      <c r="J193" s="32"/>
      <c r="K193" s="32"/>
      <c r="L193" s="33"/>
      <c r="M193" s="33"/>
      <c r="N193" s="33"/>
      <c r="O193" s="33"/>
      <c r="P193" s="33"/>
      <c r="Q193" s="34"/>
      <c r="R193" s="34"/>
      <c r="S193" s="34"/>
      <c r="T193" s="34"/>
      <c r="U193" s="32"/>
      <c r="V193" s="32"/>
      <c r="W193" s="32"/>
      <c r="X193" s="32"/>
      <c r="Y193" s="33"/>
      <c r="Z193" s="33"/>
      <c r="AA193" s="33"/>
      <c r="AB193" s="33"/>
      <c r="AC193" s="33"/>
      <c r="AD193" s="34"/>
      <c r="AE193" s="34"/>
      <c r="AF193" s="34"/>
      <c r="AG193" s="34"/>
      <c r="AH193" s="34"/>
      <c r="AI193" s="32"/>
      <c r="AJ193" s="32"/>
      <c r="AK193" s="33"/>
      <c r="AL193" s="33"/>
      <c r="AM193" s="33"/>
      <c r="AN193" s="34"/>
      <c r="AO193" s="34"/>
      <c r="AP193" s="34"/>
      <c r="AQ193" s="34"/>
      <c r="AR193" s="32"/>
      <c r="AS193" s="32"/>
      <c r="AT193" s="33"/>
      <c r="AU193" s="33"/>
      <c r="AV193" s="34"/>
      <c r="AW193" s="34"/>
      <c r="AX193" s="34"/>
      <c r="AY193" s="32"/>
      <c r="AZ193" s="32"/>
      <c r="BA193" s="33"/>
      <c r="BB193" s="33"/>
      <c r="BC193" s="34"/>
      <c r="BD193" s="34"/>
    </row>
    <row r="194" spans="1:56" x14ac:dyDescent="0.3">
      <c r="A194" s="43"/>
      <c r="B194" s="46" t="s">
        <v>360</v>
      </c>
      <c r="C194" s="10" t="s">
        <v>355</v>
      </c>
      <c r="D194" s="3" t="s">
        <v>361</v>
      </c>
      <c r="E194" s="3" t="s">
        <v>362</v>
      </c>
      <c r="F194" s="3" t="s">
        <v>76</v>
      </c>
      <c r="G194" s="29">
        <v>809282.49827900005</v>
      </c>
      <c r="H194" s="29">
        <v>1096208.7922749999</v>
      </c>
      <c r="I194" s="29">
        <v>1373359.8730039999</v>
      </c>
      <c r="J194" s="29">
        <v>1373359.8730039999</v>
      </c>
      <c r="K194" s="29">
        <v>1373359.8730039999</v>
      </c>
      <c r="L194" s="30">
        <v>5221902.6900730003</v>
      </c>
      <c r="M194" s="30">
        <v>7213538.6857430004</v>
      </c>
      <c r="N194" s="30">
        <v>6608621.0436070003</v>
      </c>
      <c r="O194" s="30">
        <v>7878516.861184</v>
      </c>
      <c r="P194" s="30">
        <v>7878516.8612000002</v>
      </c>
      <c r="Q194" s="31">
        <v>954098.24360000005</v>
      </c>
      <c r="R194" s="31">
        <v>1277070.709368</v>
      </c>
      <c r="S194" s="31">
        <v>1109773.367412</v>
      </c>
      <c r="T194" s="31">
        <v>1397713.419769</v>
      </c>
      <c r="U194" s="29">
        <v>800865.90916799998</v>
      </c>
      <c r="V194" s="29">
        <v>1040835.045287</v>
      </c>
      <c r="W194" s="29">
        <v>1318724.7211859999</v>
      </c>
      <c r="X194" s="29">
        <v>1318724.7211859999</v>
      </c>
      <c r="Y194" s="30">
        <v>5754100.9205679996</v>
      </c>
      <c r="Z194" s="30">
        <v>6832564.0720939999</v>
      </c>
      <c r="AA194" s="30">
        <v>6241258.0406489996</v>
      </c>
      <c r="AB194" s="30">
        <v>7532638.8553830003</v>
      </c>
      <c r="AC194" s="30">
        <v>7532638.8553830003</v>
      </c>
      <c r="AD194" s="31">
        <v>944563.25145800004</v>
      </c>
      <c r="AE194" s="31">
        <v>1213311.7946659999</v>
      </c>
      <c r="AF194" s="31">
        <v>1049418.66392</v>
      </c>
      <c r="AG194" s="31">
        <v>1341404.0973080001</v>
      </c>
      <c r="AH194" s="31">
        <v>1341404.0973080001</v>
      </c>
      <c r="AI194" s="29">
        <v>875067.01793500001</v>
      </c>
      <c r="AJ194" s="29">
        <v>1206262.177559</v>
      </c>
      <c r="AK194" s="30">
        <v>5458183.3491580002</v>
      </c>
      <c r="AL194" s="30">
        <v>7752238.8674370004</v>
      </c>
      <c r="AM194" s="30">
        <v>7136767.5424279999</v>
      </c>
      <c r="AN194" s="31">
        <v>1028608.1623889999</v>
      </c>
      <c r="AO194" s="31">
        <v>1396245.4424070001</v>
      </c>
      <c r="AP194" s="31">
        <v>1225313.1901199999</v>
      </c>
      <c r="AQ194" s="31">
        <v>1540537.1946940001</v>
      </c>
      <c r="AR194" s="29">
        <v>660412.15119600005</v>
      </c>
      <c r="AS194" s="29">
        <v>716163.42175400001</v>
      </c>
      <c r="AT194" s="30">
        <v>4924946.88729</v>
      </c>
      <c r="AU194" s="30">
        <v>4405451.0139490003</v>
      </c>
      <c r="AV194" s="31">
        <v>783957.03219099995</v>
      </c>
      <c r="AW194" s="31">
        <v>848347.20528200001</v>
      </c>
      <c r="AX194" s="31">
        <v>644998.90394700004</v>
      </c>
      <c r="AY194" s="29">
        <v>954326.86609899998</v>
      </c>
      <c r="AZ194" s="29">
        <v>1236633.875731</v>
      </c>
      <c r="BA194" s="30">
        <v>6151751.6682409998</v>
      </c>
      <c r="BB194" s="30">
        <v>7774767.4289999995</v>
      </c>
      <c r="BC194" s="31">
        <v>1117512.9394340001</v>
      </c>
      <c r="BD194" s="31">
        <v>1434472.637659</v>
      </c>
    </row>
    <row r="195" spans="1:56" x14ac:dyDescent="0.3">
      <c r="A195" s="43"/>
      <c r="B195" s="43"/>
      <c r="C195" s="10" t="s">
        <v>355</v>
      </c>
      <c r="D195" s="3" t="s">
        <v>363</v>
      </c>
      <c r="E195" s="3" t="s">
        <v>364</v>
      </c>
      <c r="F195" s="3" t="s">
        <v>76</v>
      </c>
      <c r="G195" s="32"/>
      <c r="H195" s="32"/>
      <c r="I195" s="32"/>
      <c r="J195" s="32"/>
      <c r="K195" s="32"/>
      <c r="L195" s="30">
        <v>20708174.235117</v>
      </c>
      <c r="M195" s="30">
        <v>12316510.873623</v>
      </c>
      <c r="N195" s="30">
        <v>11098758.284131</v>
      </c>
      <c r="O195" s="30">
        <v>7927679.6687850002</v>
      </c>
      <c r="P195" s="30">
        <v>7428755.6653000005</v>
      </c>
      <c r="Q195" s="31">
        <v>3187392.911204</v>
      </c>
      <c r="R195" s="31">
        <v>2460738.0571320001</v>
      </c>
      <c r="S195" s="31">
        <v>2112487.9994080001</v>
      </c>
      <c r="T195" s="31">
        <v>1380247.056144</v>
      </c>
      <c r="U195" s="32"/>
      <c r="V195" s="32"/>
      <c r="W195" s="32"/>
      <c r="X195" s="32"/>
      <c r="Y195" s="30">
        <v>20587352.123553999</v>
      </c>
      <c r="Z195" s="30">
        <v>11603315.805416999</v>
      </c>
      <c r="AA195" s="30">
        <v>10408343.989126001</v>
      </c>
      <c r="AB195" s="30">
        <v>7354392.7901499998</v>
      </c>
      <c r="AC195" s="30">
        <v>6855468.7866979996</v>
      </c>
      <c r="AD195" s="31">
        <v>3032696.1188230002</v>
      </c>
      <c r="AE195" s="31">
        <v>2345318.9602879998</v>
      </c>
      <c r="AF195" s="31">
        <v>2003995.7129790001</v>
      </c>
      <c r="AG195" s="31">
        <v>1290686.2848149999</v>
      </c>
      <c r="AH195" s="31">
        <v>1154065.7155180001</v>
      </c>
      <c r="AI195" s="32"/>
      <c r="AJ195" s="32"/>
      <c r="AK195" s="30">
        <v>21567882.182968002</v>
      </c>
      <c r="AL195" s="30">
        <v>12936637.304133</v>
      </c>
      <c r="AM195" s="30">
        <v>11693154.193228999</v>
      </c>
      <c r="AN195" s="31">
        <v>3356589.5807579998</v>
      </c>
      <c r="AO195" s="31">
        <v>2513590.5648429999</v>
      </c>
      <c r="AP195" s="31">
        <v>2158512.3824999998</v>
      </c>
      <c r="AQ195" s="31">
        <v>1350533.0660920001</v>
      </c>
      <c r="AR195" s="32"/>
      <c r="AS195" s="32"/>
      <c r="AT195" s="30">
        <v>17740543.566785</v>
      </c>
      <c r="AU195" s="30">
        <v>6979674.283667</v>
      </c>
      <c r="AV195" s="31">
        <v>2306184.7126409998</v>
      </c>
      <c r="AW195" s="31">
        <v>1571736.2464310001</v>
      </c>
      <c r="AX195" s="31">
        <v>1662796.3781979999</v>
      </c>
      <c r="AY195" s="32"/>
      <c r="AZ195" s="32"/>
      <c r="BA195" s="30">
        <v>22733432.426915001</v>
      </c>
      <c r="BB195" s="30">
        <v>7171891.8117490001</v>
      </c>
      <c r="BC195" s="31">
        <v>3647308.1189589999</v>
      </c>
      <c r="BD195" s="31">
        <v>1641836.266271</v>
      </c>
    </row>
    <row r="196" spans="1:56" x14ac:dyDescent="0.3">
      <c r="A196" s="43"/>
      <c r="B196" s="43"/>
      <c r="C196" s="10" t="s">
        <v>355</v>
      </c>
      <c r="D196" s="3" t="s">
        <v>365</v>
      </c>
      <c r="E196" s="3" t="s">
        <v>366</v>
      </c>
      <c r="F196" s="3" t="s">
        <v>76</v>
      </c>
      <c r="G196" s="29">
        <v>2114983.883535</v>
      </c>
      <c r="H196" s="29">
        <v>2050624.8386270001</v>
      </c>
      <c r="I196" s="29">
        <v>2000083.2</v>
      </c>
      <c r="J196" s="29">
        <v>2000083.2</v>
      </c>
      <c r="K196" s="29">
        <v>2000083.2</v>
      </c>
      <c r="L196" s="30">
        <v>6987124.5619790005</v>
      </c>
      <c r="M196" s="30">
        <v>6334204.6773680001</v>
      </c>
      <c r="N196" s="30">
        <v>6325551.6409609998</v>
      </c>
      <c r="O196" s="30">
        <v>6036501.108</v>
      </c>
      <c r="P196" s="30">
        <v>6036501.108</v>
      </c>
      <c r="Q196" s="31">
        <v>1628821.64191</v>
      </c>
      <c r="R196" s="31">
        <v>1555963.874761</v>
      </c>
      <c r="S196" s="31">
        <v>1553009.113437</v>
      </c>
      <c r="T196" s="31">
        <v>1500062.4</v>
      </c>
      <c r="U196" s="29">
        <v>2155117.197193</v>
      </c>
      <c r="V196" s="29">
        <v>2071070.7523370001</v>
      </c>
      <c r="W196" s="29">
        <v>2000083.2</v>
      </c>
      <c r="X196" s="29">
        <v>2000083.2</v>
      </c>
      <c r="Y196" s="30">
        <v>7498190.1808169996</v>
      </c>
      <c r="Z196" s="30">
        <v>6455070.781463</v>
      </c>
      <c r="AA196" s="30">
        <v>6444656.1215500003</v>
      </c>
      <c r="AB196" s="30">
        <v>6036572.7598599996</v>
      </c>
      <c r="AC196" s="30">
        <v>6036572.7598599996</v>
      </c>
      <c r="AD196" s="31">
        <v>1673949.302078</v>
      </c>
      <c r="AE196" s="31">
        <v>1578634.887235</v>
      </c>
      <c r="AF196" s="31">
        <v>1574979.512292</v>
      </c>
      <c r="AG196" s="31">
        <v>1500062.4</v>
      </c>
      <c r="AH196" s="31">
        <v>1500062.4</v>
      </c>
      <c r="AI196" s="29">
        <v>2137633.5920699998</v>
      </c>
      <c r="AJ196" s="29">
        <v>2042271.682423</v>
      </c>
      <c r="AK196" s="30">
        <v>6539498.117323</v>
      </c>
      <c r="AL196" s="30">
        <v>6355682.5698389998</v>
      </c>
      <c r="AM196" s="30">
        <v>6348049.6324990001</v>
      </c>
      <c r="AN196" s="31">
        <v>1654776.1071019999</v>
      </c>
      <c r="AO196" s="31">
        <v>1547536.2990919999</v>
      </c>
      <c r="AP196" s="31">
        <v>1544607.69725</v>
      </c>
      <c r="AQ196" s="31">
        <v>1500062.4</v>
      </c>
      <c r="AR196" s="29">
        <v>2215317.8157390002</v>
      </c>
      <c r="AS196" s="29">
        <v>2035056.0683939999</v>
      </c>
      <c r="AT196" s="30">
        <v>8652059.8051970005</v>
      </c>
      <c r="AU196" s="30">
        <v>6306160.0298910001</v>
      </c>
      <c r="AV196" s="31">
        <v>1741189.609065</v>
      </c>
      <c r="AW196" s="31">
        <v>1538063.2759779999</v>
      </c>
      <c r="AX196" s="31">
        <v>1737268.5374040001</v>
      </c>
      <c r="AY196" s="29">
        <v>2159823.9591819998</v>
      </c>
      <c r="AZ196" s="29">
        <v>2000083.2</v>
      </c>
      <c r="BA196" s="30">
        <v>6933518.0360639999</v>
      </c>
      <c r="BB196" s="30">
        <v>6036501.108</v>
      </c>
      <c r="BC196" s="31">
        <v>1683565.693457</v>
      </c>
      <c r="BD196" s="31">
        <v>1500062.4</v>
      </c>
    </row>
    <row r="197" spans="1:56" x14ac:dyDescent="0.3">
      <c r="A197" s="43"/>
      <c r="B197" s="43"/>
      <c r="C197" s="10" t="s">
        <v>355</v>
      </c>
      <c r="D197" s="3" t="s">
        <v>367</v>
      </c>
      <c r="E197" s="3" t="s">
        <v>368</v>
      </c>
      <c r="F197" s="3" t="s">
        <v>76</v>
      </c>
      <c r="G197" s="29">
        <v>3528167.3280059998</v>
      </c>
      <c r="H197" s="29">
        <v>3169002.5715839998</v>
      </c>
      <c r="I197" s="29">
        <v>2750019.462417</v>
      </c>
      <c r="J197" s="29">
        <v>2750019.462417</v>
      </c>
      <c r="K197" s="29">
        <v>2507524.6358960001</v>
      </c>
      <c r="L197" s="30">
        <v>25930076.925191</v>
      </c>
      <c r="M197" s="30">
        <v>19530049.559365999</v>
      </c>
      <c r="N197" s="30">
        <v>17707379.327737998</v>
      </c>
      <c r="O197" s="30">
        <v>15806196.529968999</v>
      </c>
      <c r="P197" s="30">
        <v>15307272.5265</v>
      </c>
      <c r="Q197" s="31">
        <v>4141491.1548040002</v>
      </c>
      <c r="R197" s="31">
        <v>3737808.7664999999</v>
      </c>
      <c r="S197" s="31">
        <v>3222261.3668189999</v>
      </c>
      <c r="T197" s="31">
        <v>2777960.4759129998</v>
      </c>
      <c r="U197" s="29">
        <v>3383558.2228259998</v>
      </c>
      <c r="V197" s="29">
        <v>3008933.8752299999</v>
      </c>
      <c r="W197" s="29">
        <v>2613215.7378199999</v>
      </c>
      <c r="X197" s="29">
        <v>2613215.7378199999</v>
      </c>
      <c r="Y197" s="30">
        <v>26341453.044121999</v>
      </c>
      <c r="Z197" s="30">
        <v>18435879.87751</v>
      </c>
      <c r="AA197" s="30">
        <v>16649602.029774999</v>
      </c>
      <c r="AB197" s="30">
        <v>14887031.645532999</v>
      </c>
      <c r="AC197" s="30">
        <v>14388107.642081</v>
      </c>
      <c r="AD197" s="31">
        <v>3977259.3702810002</v>
      </c>
      <c r="AE197" s="31">
        <v>3558630.7549530002</v>
      </c>
      <c r="AF197" s="31">
        <v>3053414.3768989998</v>
      </c>
      <c r="AG197" s="31">
        <v>2632090.3821220002</v>
      </c>
      <c r="AH197" s="31">
        <v>2495469.8128249999</v>
      </c>
      <c r="AI197" s="29">
        <v>3744487.8960079998</v>
      </c>
      <c r="AJ197" s="29">
        <v>3321242.3097930001</v>
      </c>
      <c r="AK197" s="30">
        <v>27026065.532127</v>
      </c>
      <c r="AL197" s="30">
        <v>20688876.171569999</v>
      </c>
      <c r="AM197" s="30">
        <v>18829921.735656999</v>
      </c>
      <c r="AN197" s="31">
        <v>4385197.7431469997</v>
      </c>
      <c r="AO197" s="31">
        <v>3909836.0072499998</v>
      </c>
      <c r="AP197" s="31">
        <v>3383825.572619</v>
      </c>
      <c r="AQ197" s="31">
        <v>2891070.2607860002</v>
      </c>
      <c r="AR197" s="29">
        <v>2599068.0343260001</v>
      </c>
      <c r="AS197" s="29">
        <v>1995197.3668140001</v>
      </c>
      <c r="AT197" s="30">
        <v>22665490.454075001</v>
      </c>
      <c r="AU197" s="30">
        <v>11385125.297615999</v>
      </c>
      <c r="AV197" s="31">
        <v>3090141.744833</v>
      </c>
      <c r="AW197" s="31">
        <v>2420083.451713</v>
      </c>
      <c r="AX197" s="31">
        <v>2307795.2821450001</v>
      </c>
      <c r="AY197" s="29">
        <v>4067258.9516380001</v>
      </c>
      <c r="AZ197" s="29">
        <v>2567022.4581200001</v>
      </c>
      <c r="BA197" s="30">
        <v>28885184.095155999</v>
      </c>
      <c r="BB197" s="30">
        <v>14946659.240749</v>
      </c>
      <c r="BC197" s="31">
        <v>4764821.0583929997</v>
      </c>
      <c r="BD197" s="31">
        <v>3076308.90393</v>
      </c>
    </row>
    <row r="198" spans="1:56" x14ac:dyDescent="0.3">
      <c r="A198" s="43"/>
      <c r="B198" s="43"/>
      <c r="C198" s="10" t="s">
        <v>355</v>
      </c>
      <c r="D198" s="3" t="s">
        <v>369</v>
      </c>
      <c r="E198" s="3" t="s">
        <v>370</v>
      </c>
      <c r="F198" s="3" t="s">
        <v>76</v>
      </c>
      <c r="G198" s="29">
        <v>-1413183.444471</v>
      </c>
      <c r="H198" s="29">
        <v>-1118377.7329569999</v>
      </c>
      <c r="I198" s="29">
        <v>-749936.26241700002</v>
      </c>
      <c r="J198" s="29">
        <v>-749936.26241700002</v>
      </c>
      <c r="K198" s="29">
        <v>-507441.43589600001</v>
      </c>
      <c r="L198" s="30">
        <v>-18942952.363210998</v>
      </c>
      <c r="M198" s="30">
        <v>-13195844.881998001</v>
      </c>
      <c r="N198" s="30">
        <v>-11381827.686776999</v>
      </c>
      <c r="O198" s="30">
        <v>-9769695.4219690003</v>
      </c>
      <c r="P198" s="30">
        <v>-9270771.4185000006</v>
      </c>
      <c r="Q198" s="31">
        <v>-2512669.5128939999</v>
      </c>
      <c r="R198" s="31">
        <v>-2181844.8917399999</v>
      </c>
      <c r="S198" s="31">
        <v>-1669252.2533819999</v>
      </c>
      <c r="T198" s="31">
        <v>-1277898.0759129999</v>
      </c>
      <c r="U198" s="29">
        <v>-1228441.0256330001</v>
      </c>
      <c r="V198" s="29">
        <v>-937863.12289300002</v>
      </c>
      <c r="W198" s="29">
        <v>-613132.53781999997</v>
      </c>
      <c r="X198" s="29">
        <v>-613132.53781999997</v>
      </c>
      <c r="Y198" s="30">
        <v>-18843262.863304999</v>
      </c>
      <c r="Z198" s="30">
        <v>-11980809.096046999</v>
      </c>
      <c r="AA198" s="30">
        <v>-10204945.908225</v>
      </c>
      <c r="AB198" s="30">
        <v>-8850458.8856729995</v>
      </c>
      <c r="AC198" s="30">
        <v>-8351534.8822210003</v>
      </c>
      <c r="AD198" s="31">
        <v>-2303310.0682029999</v>
      </c>
      <c r="AE198" s="31">
        <v>-1979995.867718</v>
      </c>
      <c r="AF198" s="31">
        <v>-1478434.864606</v>
      </c>
      <c r="AG198" s="31">
        <v>-1132027.9821220001</v>
      </c>
      <c r="AH198" s="31">
        <v>-995407.41282500001</v>
      </c>
      <c r="AI198" s="29">
        <v>-1606854.303938</v>
      </c>
      <c r="AJ198" s="29">
        <v>-1278970.6273699999</v>
      </c>
      <c r="AK198" s="30">
        <v>-20486567.414804</v>
      </c>
      <c r="AL198" s="30">
        <v>-14333193.601731</v>
      </c>
      <c r="AM198" s="30">
        <v>-12481872.103158001</v>
      </c>
      <c r="AN198" s="31">
        <v>-2730421.6360450001</v>
      </c>
      <c r="AO198" s="31">
        <v>-2362299.7081579999</v>
      </c>
      <c r="AP198" s="31">
        <v>-1839217.87537</v>
      </c>
      <c r="AQ198" s="31">
        <v>-1391007.860786</v>
      </c>
      <c r="AR198" s="29">
        <v>-383750.21858799999</v>
      </c>
      <c r="AS198" s="29">
        <v>39858.701580000001</v>
      </c>
      <c r="AT198" s="30">
        <v>-14013430.648878001</v>
      </c>
      <c r="AU198" s="30">
        <v>-5078965.2677250002</v>
      </c>
      <c r="AV198" s="31">
        <v>-1348952.135767</v>
      </c>
      <c r="AW198" s="31">
        <v>-882020.17573500006</v>
      </c>
      <c r="AX198" s="31">
        <v>-570526.744741</v>
      </c>
      <c r="AY198" s="29">
        <v>-1907434.9924560001</v>
      </c>
      <c r="AZ198" s="29">
        <v>-566939.25812000001</v>
      </c>
      <c r="BA198" s="30">
        <v>-21951666.059092</v>
      </c>
      <c r="BB198" s="30">
        <v>-8910158.1327490006</v>
      </c>
      <c r="BC198" s="31">
        <v>-3081255.364935</v>
      </c>
      <c r="BD198" s="31">
        <v>-1576246.5039299999</v>
      </c>
    </row>
    <row r="199" spans="1:56" x14ac:dyDescent="0.3">
      <c r="A199" s="43"/>
      <c r="B199" s="43"/>
      <c r="C199" s="10" t="s">
        <v>355</v>
      </c>
      <c r="D199" s="3" t="s">
        <v>371</v>
      </c>
      <c r="E199" s="3" t="s">
        <v>372</v>
      </c>
      <c r="F199" s="3" t="s">
        <v>76</v>
      </c>
      <c r="G199" s="29">
        <v>3528167.3280059998</v>
      </c>
      <c r="H199" s="29">
        <v>3169002.5715839998</v>
      </c>
      <c r="I199" s="29">
        <v>2750019.462417</v>
      </c>
      <c r="J199" s="29">
        <v>2750019.462417</v>
      </c>
      <c r="K199" s="29">
        <v>2507524.6358960001</v>
      </c>
      <c r="L199" s="30">
        <v>25930076.925191</v>
      </c>
      <c r="M199" s="30">
        <v>19530049.559365999</v>
      </c>
      <c r="N199" s="30">
        <v>17707379.327737998</v>
      </c>
      <c r="O199" s="30">
        <v>15806196.529968999</v>
      </c>
      <c r="P199" s="30">
        <v>15307272.5265</v>
      </c>
      <c r="Q199" s="31">
        <v>4141491.1548040002</v>
      </c>
      <c r="R199" s="31">
        <v>3737808.7664999999</v>
      </c>
      <c r="S199" s="31">
        <v>3222261.3668189999</v>
      </c>
      <c r="T199" s="31">
        <v>2777960.4759129998</v>
      </c>
      <c r="U199" s="29">
        <v>3383558.2228259998</v>
      </c>
      <c r="V199" s="29">
        <v>3008933.8752299999</v>
      </c>
      <c r="W199" s="29">
        <v>2613215.7378199999</v>
      </c>
      <c r="X199" s="29">
        <v>2613215.7378199999</v>
      </c>
      <c r="Y199" s="30">
        <v>26341453.044121999</v>
      </c>
      <c r="Z199" s="30">
        <v>18435879.87751</v>
      </c>
      <c r="AA199" s="30">
        <v>16649602.029774999</v>
      </c>
      <c r="AB199" s="30">
        <v>14887031.645532999</v>
      </c>
      <c r="AC199" s="30">
        <v>14388107.642081</v>
      </c>
      <c r="AD199" s="31">
        <v>3977259.3702810002</v>
      </c>
      <c r="AE199" s="31">
        <v>3558630.7549530002</v>
      </c>
      <c r="AF199" s="31">
        <v>3053414.3768989998</v>
      </c>
      <c r="AG199" s="31">
        <v>2632090.3821220002</v>
      </c>
      <c r="AH199" s="31">
        <v>2495469.8128249999</v>
      </c>
      <c r="AI199" s="29">
        <v>3744487.8960079998</v>
      </c>
      <c r="AJ199" s="29">
        <v>3321242.3097930001</v>
      </c>
      <c r="AK199" s="30">
        <v>27026065.532127</v>
      </c>
      <c r="AL199" s="30">
        <v>20688876.171569999</v>
      </c>
      <c r="AM199" s="30">
        <v>18829921.735656999</v>
      </c>
      <c r="AN199" s="31">
        <v>4385197.7431469997</v>
      </c>
      <c r="AO199" s="31">
        <v>3909836.0072499998</v>
      </c>
      <c r="AP199" s="31">
        <v>3383825.572619</v>
      </c>
      <c r="AQ199" s="31">
        <v>2891070.2607860002</v>
      </c>
      <c r="AR199" s="29">
        <v>2599068.0343260001</v>
      </c>
      <c r="AS199" s="29">
        <v>1995197.3668140001</v>
      </c>
      <c r="AT199" s="30">
        <v>22665490.454075001</v>
      </c>
      <c r="AU199" s="30">
        <v>11385125.297615999</v>
      </c>
      <c r="AV199" s="31">
        <v>3090141.744833</v>
      </c>
      <c r="AW199" s="31">
        <v>2420083.451713</v>
      </c>
      <c r="AX199" s="31">
        <v>2307795.2821450001</v>
      </c>
      <c r="AY199" s="29">
        <v>4067258.9516380001</v>
      </c>
      <c r="AZ199" s="29">
        <v>2567022.4581200001</v>
      </c>
      <c r="BA199" s="30">
        <v>28885184.095155999</v>
      </c>
      <c r="BB199" s="30">
        <v>14946659.240749</v>
      </c>
      <c r="BC199" s="31">
        <v>4764821.0583929997</v>
      </c>
      <c r="BD199" s="31">
        <v>3076308.90393</v>
      </c>
    </row>
    <row r="200" spans="1:56" x14ac:dyDescent="0.3">
      <c r="A200" s="43"/>
      <c r="B200" s="44"/>
      <c r="C200" s="10"/>
      <c r="G200" s="32"/>
      <c r="H200" s="32"/>
      <c r="I200" s="32"/>
      <c r="J200" s="32"/>
      <c r="K200" s="32"/>
      <c r="L200" s="33"/>
      <c r="M200" s="33"/>
      <c r="N200" s="33"/>
      <c r="O200" s="33"/>
      <c r="P200" s="33"/>
      <c r="Q200" s="34"/>
      <c r="R200" s="34"/>
      <c r="S200" s="34"/>
      <c r="T200" s="34"/>
      <c r="U200" s="32"/>
      <c r="V200" s="32"/>
      <c r="W200" s="32"/>
      <c r="X200" s="32"/>
      <c r="Y200" s="33"/>
      <c r="Z200" s="33"/>
      <c r="AA200" s="33"/>
      <c r="AB200" s="33"/>
      <c r="AC200" s="33"/>
      <c r="AD200" s="34"/>
      <c r="AE200" s="34"/>
      <c r="AF200" s="34"/>
      <c r="AG200" s="34"/>
      <c r="AH200" s="34"/>
      <c r="AI200" s="32"/>
      <c r="AJ200" s="32"/>
      <c r="AK200" s="33"/>
      <c r="AL200" s="33"/>
      <c r="AM200" s="33"/>
      <c r="AN200" s="34"/>
      <c r="AO200" s="34"/>
      <c r="AP200" s="34"/>
      <c r="AQ200" s="34"/>
      <c r="AR200" s="32"/>
      <c r="AS200" s="32"/>
      <c r="AT200" s="33"/>
      <c r="AU200" s="33"/>
      <c r="AV200" s="34"/>
      <c r="AW200" s="34"/>
      <c r="AX200" s="34"/>
      <c r="AY200" s="32"/>
      <c r="AZ200" s="32"/>
      <c r="BA200" s="33"/>
      <c r="BB200" s="33"/>
      <c r="BC200" s="34"/>
      <c r="BD200" s="34"/>
    </row>
    <row r="201" spans="1:56" x14ac:dyDescent="0.3">
      <c r="A201" s="43"/>
      <c r="B201" s="46" t="s">
        <v>373</v>
      </c>
      <c r="C201" s="11" t="s">
        <v>374</v>
      </c>
      <c r="D201" s="6" t="s">
        <v>375</v>
      </c>
      <c r="E201" s="6" t="s">
        <v>376</v>
      </c>
      <c r="F201" s="6" t="s">
        <v>377</v>
      </c>
      <c r="G201" s="29">
        <v>3.7733449999999999</v>
      </c>
      <c r="H201" s="29">
        <v>3.7733449999999999</v>
      </c>
      <c r="I201" s="29">
        <v>3.7733449999999999</v>
      </c>
      <c r="J201" s="29">
        <v>3.7733449999999999</v>
      </c>
      <c r="K201" s="29">
        <v>3.7733449999999999</v>
      </c>
      <c r="L201" s="30">
        <v>3.7733449999999999</v>
      </c>
      <c r="M201" s="30">
        <v>3.7733449999999999</v>
      </c>
      <c r="N201" s="30">
        <v>3.7733449999999999</v>
      </c>
      <c r="O201" s="30">
        <v>3.7733449999999999</v>
      </c>
      <c r="P201" s="30">
        <v>3.7732999999999999</v>
      </c>
      <c r="Q201" s="31">
        <v>3.7733449999999999</v>
      </c>
      <c r="R201" s="31">
        <v>3.7733449999999999</v>
      </c>
      <c r="S201" s="31">
        <v>3.7733449999999999</v>
      </c>
      <c r="T201" s="31">
        <v>3.7733449999999999</v>
      </c>
      <c r="U201" s="29">
        <v>3.340379</v>
      </c>
      <c r="V201" s="29">
        <v>3.340379</v>
      </c>
      <c r="W201" s="29">
        <v>3.340379</v>
      </c>
      <c r="X201" s="29">
        <v>3.340379</v>
      </c>
      <c r="Y201" s="30">
        <v>3.340379</v>
      </c>
      <c r="Z201" s="30">
        <v>3.340379</v>
      </c>
      <c r="AA201" s="30">
        <v>3.340379</v>
      </c>
      <c r="AB201" s="30">
        <v>3.340379</v>
      </c>
      <c r="AC201" s="30">
        <v>3.340379</v>
      </c>
      <c r="AD201" s="31">
        <v>3.340379</v>
      </c>
      <c r="AE201" s="31">
        <v>3.340379</v>
      </c>
      <c r="AF201" s="31">
        <v>3.340379</v>
      </c>
      <c r="AG201" s="31">
        <v>3.340379</v>
      </c>
      <c r="AH201" s="31">
        <v>3.340379</v>
      </c>
      <c r="AI201" s="29">
        <v>3.8259159999999999</v>
      </c>
      <c r="AJ201" s="29">
        <v>3.8259159999999999</v>
      </c>
      <c r="AK201" s="30">
        <v>3.8259159999999999</v>
      </c>
      <c r="AL201" s="30">
        <v>3.8259159999999999</v>
      </c>
      <c r="AM201" s="30">
        <v>3.8259159999999999</v>
      </c>
      <c r="AN201" s="31">
        <v>3.8259159999999999</v>
      </c>
      <c r="AO201" s="31">
        <v>3.8259159999999999</v>
      </c>
      <c r="AP201" s="31">
        <v>3.8259159999999999</v>
      </c>
      <c r="AQ201" s="31">
        <v>3.8259159999999999</v>
      </c>
      <c r="AR201" s="29">
        <v>2.0610569999999999</v>
      </c>
      <c r="AS201" s="29">
        <v>2.0610569999999999</v>
      </c>
      <c r="AT201" s="30">
        <v>2.0610569999999999</v>
      </c>
      <c r="AU201" s="30">
        <v>2.0610569999999999</v>
      </c>
      <c r="AV201" s="31">
        <v>2.0610569999999999</v>
      </c>
      <c r="AW201" s="31">
        <v>2.0610569999999999</v>
      </c>
      <c r="AX201" s="31">
        <v>1.9620040000000001</v>
      </c>
      <c r="AY201" s="29">
        <v>3.0458949999999998</v>
      </c>
      <c r="AZ201" s="29">
        <v>3.0458949999999998</v>
      </c>
      <c r="BA201" s="30">
        <v>3.0458949999999998</v>
      </c>
      <c r="BB201" s="30">
        <v>3.0458949999999998</v>
      </c>
      <c r="BC201" s="31">
        <v>3.0458949999999998</v>
      </c>
      <c r="BD201" s="31">
        <v>3.0458949999999998</v>
      </c>
    </row>
    <row r="202" spans="1:56" x14ac:dyDescent="0.3">
      <c r="A202" s="43"/>
      <c r="B202" s="43"/>
      <c r="C202" s="10" t="s">
        <v>374</v>
      </c>
      <c r="D202" s="3" t="s">
        <v>378</v>
      </c>
      <c r="E202" s="3" t="s">
        <v>379</v>
      </c>
      <c r="F202" s="3" t="s">
        <v>377</v>
      </c>
      <c r="G202" s="29">
        <v>7.6834949999999997</v>
      </c>
      <c r="H202" s="29">
        <v>7.6834949999999997</v>
      </c>
      <c r="I202" s="29">
        <v>7.6834949999999997</v>
      </c>
      <c r="J202" s="29">
        <v>7.6834949999999997</v>
      </c>
      <c r="K202" s="29">
        <v>7.6834949999999997</v>
      </c>
      <c r="L202" s="30">
        <v>7.6834949999999997</v>
      </c>
      <c r="M202" s="30">
        <v>7.6834949999999997</v>
      </c>
      <c r="N202" s="30">
        <v>7.6834949999999997</v>
      </c>
      <c r="O202" s="30">
        <v>7.6834949999999997</v>
      </c>
      <c r="P202" s="30">
        <v>7.6835000000000004</v>
      </c>
      <c r="Q202" s="31">
        <v>7.6834949999999997</v>
      </c>
      <c r="R202" s="31">
        <v>7.6834949999999997</v>
      </c>
      <c r="S202" s="31">
        <v>7.6834949999999997</v>
      </c>
      <c r="T202" s="31">
        <v>7.6834949999999997</v>
      </c>
      <c r="U202" s="29">
        <v>8.1611049999999992</v>
      </c>
      <c r="V202" s="29">
        <v>8.1611049999999992</v>
      </c>
      <c r="W202" s="29">
        <v>8.1611049999999992</v>
      </c>
      <c r="X202" s="29">
        <v>8.1611049999999992</v>
      </c>
      <c r="Y202" s="30">
        <v>8.1611049999999992</v>
      </c>
      <c r="Z202" s="30">
        <v>8.1611049999999992</v>
      </c>
      <c r="AA202" s="30">
        <v>8.1611049999999992</v>
      </c>
      <c r="AB202" s="30">
        <v>8.1611049999999992</v>
      </c>
      <c r="AC202" s="30">
        <v>8.1611049999999992</v>
      </c>
      <c r="AD202" s="31">
        <v>8.1611049999999992</v>
      </c>
      <c r="AE202" s="31">
        <v>8.1611049999999992</v>
      </c>
      <c r="AF202" s="31">
        <v>8.1611049999999992</v>
      </c>
      <c r="AG202" s="31">
        <v>8.1611049999999992</v>
      </c>
      <c r="AH202" s="31">
        <v>8.1611049999999992</v>
      </c>
      <c r="AI202" s="29">
        <v>7.7823719999999996</v>
      </c>
      <c r="AJ202" s="29">
        <v>7.7823719999999996</v>
      </c>
      <c r="AK202" s="30">
        <v>7.7823719999999996</v>
      </c>
      <c r="AL202" s="30">
        <v>7.7823719999999996</v>
      </c>
      <c r="AM202" s="30">
        <v>7.7823719999999996</v>
      </c>
      <c r="AN202" s="31">
        <v>7.7823719999999996</v>
      </c>
      <c r="AO202" s="31">
        <v>7.7823719999999996</v>
      </c>
      <c r="AP202" s="31">
        <v>7.7823719999999996</v>
      </c>
      <c r="AQ202" s="31">
        <v>7.7823719999999996</v>
      </c>
      <c r="AR202" s="29">
        <v>9.6404200000000007</v>
      </c>
      <c r="AS202" s="29">
        <v>0</v>
      </c>
      <c r="AT202" s="30">
        <v>9.6404200000000007</v>
      </c>
      <c r="AU202" s="30">
        <v>0</v>
      </c>
      <c r="AV202" s="31">
        <v>9.6404200000000007</v>
      </c>
      <c r="AW202" s="31">
        <v>0</v>
      </c>
      <c r="AX202" s="31">
        <v>9.0479459999999996</v>
      </c>
      <c r="AY202" s="29">
        <v>0</v>
      </c>
      <c r="AZ202" s="29">
        <v>0</v>
      </c>
      <c r="BA202" s="30">
        <v>6.9851960000000002</v>
      </c>
      <c r="BB202" s="30">
        <v>0</v>
      </c>
      <c r="BC202" s="31">
        <v>0</v>
      </c>
      <c r="BD202" s="31">
        <v>0</v>
      </c>
    </row>
    <row r="203" spans="1:56" x14ac:dyDescent="0.3">
      <c r="A203" s="43"/>
      <c r="B203" s="43"/>
      <c r="C203" s="10" t="s">
        <v>374</v>
      </c>
      <c r="D203" s="3" t="s">
        <v>380</v>
      </c>
      <c r="E203" s="3" t="s">
        <v>381</v>
      </c>
      <c r="F203" s="3" t="s">
        <v>382</v>
      </c>
      <c r="G203" s="29">
        <v>5.5825230000000001</v>
      </c>
      <c r="H203" s="29">
        <v>0</v>
      </c>
      <c r="I203" s="29">
        <v>0</v>
      </c>
      <c r="J203" s="29">
        <v>0</v>
      </c>
      <c r="K203" s="29">
        <v>0</v>
      </c>
      <c r="L203" s="30">
        <v>13.754585000000001</v>
      </c>
      <c r="M203" s="30">
        <v>7.6478359999999999</v>
      </c>
      <c r="N203" s="30">
        <v>7.2324279999999996</v>
      </c>
      <c r="O203" s="30">
        <v>6.6567910000000001</v>
      </c>
      <c r="P203" s="30">
        <v>7.8692000000000002</v>
      </c>
      <c r="Q203" s="31">
        <v>7.5751559999999998</v>
      </c>
      <c r="R203" s="31">
        <v>0</v>
      </c>
      <c r="S203" s="31">
        <v>0</v>
      </c>
      <c r="T203" s="31">
        <v>0</v>
      </c>
      <c r="U203" s="29">
        <v>8.6317830000000004</v>
      </c>
      <c r="V203" s="29">
        <v>0</v>
      </c>
      <c r="W203" s="29">
        <v>0</v>
      </c>
      <c r="X203" s="29">
        <v>0</v>
      </c>
      <c r="Y203" s="30">
        <v>10.561436</v>
      </c>
      <c r="Z203" s="30">
        <v>0</v>
      </c>
      <c r="AA203" s="30">
        <v>0</v>
      </c>
      <c r="AB203" s="30">
        <v>5.0359870000000004</v>
      </c>
      <c r="AC203" s="30">
        <v>6.1666639999999999</v>
      </c>
      <c r="AD203" s="31">
        <v>7.3018549999999998</v>
      </c>
      <c r="AE203" s="31">
        <v>0</v>
      </c>
      <c r="AF203" s="31">
        <v>0</v>
      </c>
      <c r="AG203" s="31">
        <v>0</v>
      </c>
      <c r="AH203" s="31">
        <v>0</v>
      </c>
      <c r="AI203" s="29">
        <v>8.2709170000000007</v>
      </c>
      <c r="AJ203" s="29">
        <v>6.6880579999999998</v>
      </c>
      <c r="AK203" s="30">
        <v>15.239466999999999</v>
      </c>
      <c r="AL203" s="30">
        <v>7.6275890000000004</v>
      </c>
      <c r="AM203" s="30">
        <v>7.8449410000000004</v>
      </c>
      <c r="AN203" s="31">
        <v>5.9442579999999996</v>
      </c>
      <c r="AO203" s="31">
        <v>0</v>
      </c>
      <c r="AP203" s="31">
        <v>0</v>
      </c>
      <c r="AQ203" s="31">
        <v>0</v>
      </c>
      <c r="AR203" s="29">
        <v>16.399235000000001</v>
      </c>
      <c r="AS203" s="29">
        <v>0</v>
      </c>
      <c r="AT203" s="30">
        <v>28.836122</v>
      </c>
      <c r="AU203" s="30">
        <v>0</v>
      </c>
      <c r="AV203" s="31">
        <v>16.27459</v>
      </c>
      <c r="AW203" s="31">
        <v>0</v>
      </c>
      <c r="AX203" s="31">
        <v>15.023274000000001</v>
      </c>
      <c r="AY203" s="29">
        <v>14.266970000000001</v>
      </c>
      <c r="AZ203" s="29">
        <v>0</v>
      </c>
      <c r="BA203" s="30">
        <v>12.977372000000001</v>
      </c>
      <c r="BB203" s="30">
        <v>0</v>
      </c>
      <c r="BC203" s="31">
        <v>10.463542</v>
      </c>
      <c r="BD203" s="31">
        <v>0</v>
      </c>
    </row>
    <row r="204" spans="1:56" x14ac:dyDescent="0.3">
      <c r="A204" s="43"/>
      <c r="B204" s="43"/>
      <c r="C204" s="10" t="s">
        <v>374</v>
      </c>
      <c r="D204" s="3" t="s">
        <v>383</v>
      </c>
      <c r="E204" s="3" t="s">
        <v>384</v>
      </c>
      <c r="F204" s="3" t="s">
        <v>377</v>
      </c>
      <c r="G204" s="29">
        <v>6.005528</v>
      </c>
      <c r="H204" s="29">
        <v>6.4158309999999998</v>
      </c>
      <c r="I204" s="29">
        <v>5.0831429999999997</v>
      </c>
      <c r="J204" s="29">
        <v>5.0831429999999997</v>
      </c>
      <c r="K204" s="29">
        <v>5.0831429999999997</v>
      </c>
      <c r="L204" s="30">
        <v>8.9134100000000007</v>
      </c>
      <c r="M204" s="30">
        <v>6.645384</v>
      </c>
      <c r="N204" s="30">
        <v>6.6426829999999999</v>
      </c>
      <c r="O204" s="30">
        <v>6.3640689999999998</v>
      </c>
      <c r="P204" s="30">
        <v>6.3642000000000003</v>
      </c>
      <c r="Q204" s="31">
        <v>5.9989150000000002</v>
      </c>
      <c r="R204" s="31">
        <v>6.4237409999999997</v>
      </c>
      <c r="S204" s="31">
        <v>6.4189119999999997</v>
      </c>
      <c r="T204" s="31">
        <v>5.04826</v>
      </c>
      <c r="U204" s="29">
        <v>5.6123089999999998</v>
      </c>
      <c r="V204" s="29">
        <v>5.637893</v>
      </c>
      <c r="W204" s="29">
        <v>4.5249629999999996</v>
      </c>
      <c r="X204" s="29">
        <v>4.5249629999999996</v>
      </c>
      <c r="Y204" s="30">
        <v>8.2701259999999994</v>
      </c>
      <c r="Z204" s="30">
        <v>5.909821</v>
      </c>
      <c r="AA204" s="30">
        <v>5.904331</v>
      </c>
      <c r="AB204" s="30">
        <v>5.8131300000000001</v>
      </c>
      <c r="AC204" s="30">
        <v>5.8138509999999997</v>
      </c>
      <c r="AD204" s="31">
        <v>5.6014609999999996</v>
      </c>
      <c r="AE204" s="31">
        <v>5.6508849999999997</v>
      </c>
      <c r="AF204" s="31">
        <v>5.6375250000000001</v>
      </c>
      <c r="AG204" s="31">
        <v>4.4664149999999996</v>
      </c>
      <c r="AH204" s="31">
        <v>4.4670909999999999</v>
      </c>
      <c r="AI204" s="29">
        <v>6.8163580000000001</v>
      </c>
      <c r="AJ204" s="29">
        <v>6.9677990000000003</v>
      </c>
      <c r="AK204" s="30">
        <v>10.087732000000001</v>
      </c>
      <c r="AL204" s="30">
        <v>7.1438439999999996</v>
      </c>
      <c r="AM204" s="30">
        <v>7.1397209999999998</v>
      </c>
      <c r="AN204" s="31">
        <v>6.8115079999999999</v>
      </c>
      <c r="AO204" s="31">
        <v>6.9629890000000003</v>
      </c>
      <c r="AP204" s="31">
        <v>6.9591599999999998</v>
      </c>
      <c r="AQ204" s="31">
        <v>5.2649429999999997</v>
      </c>
      <c r="AR204" s="29">
        <v>3.2128100000000002</v>
      </c>
      <c r="AS204" s="29">
        <v>2.8611460000000002</v>
      </c>
      <c r="AT204" s="30">
        <v>5.4612610000000004</v>
      </c>
      <c r="AU204" s="30">
        <v>2.9725259999999998</v>
      </c>
      <c r="AV204" s="31">
        <v>3.1847979999999998</v>
      </c>
      <c r="AW204" s="31">
        <v>2.865669</v>
      </c>
      <c r="AX204" s="31">
        <v>2.8521800000000002</v>
      </c>
      <c r="AY204" s="29">
        <v>7.7142590000000002</v>
      </c>
      <c r="AZ204" s="29">
        <v>5.3964290000000004</v>
      </c>
      <c r="BA204" s="30">
        <v>10.320969</v>
      </c>
      <c r="BB204" s="30">
        <v>5.3964290000000004</v>
      </c>
      <c r="BC204" s="31">
        <v>7.6693790000000002</v>
      </c>
      <c r="BD204" s="31">
        <v>5.3964290000000004</v>
      </c>
    </row>
    <row r="205" spans="1:56" x14ac:dyDescent="0.3">
      <c r="A205" s="43"/>
      <c r="B205" s="43"/>
      <c r="C205" s="10" t="s">
        <v>374</v>
      </c>
      <c r="D205" s="3" t="s">
        <v>385</v>
      </c>
      <c r="E205" s="3" t="s">
        <v>386</v>
      </c>
      <c r="F205" s="3" t="s">
        <v>387</v>
      </c>
      <c r="G205" s="32"/>
      <c r="H205" s="32"/>
      <c r="I205" s="32"/>
      <c r="J205" s="32"/>
      <c r="K205" s="32"/>
      <c r="L205" s="30">
        <v>3.3162919999999998</v>
      </c>
      <c r="M205" s="30">
        <v>2.9423789999999999</v>
      </c>
      <c r="N205" s="30">
        <v>2.956143</v>
      </c>
      <c r="O205" s="30">
        <v>2.9706139999999999</v>
      </c>
      <c r="P205" s="30">
        <v>2.9714999999999998</v>
      </c>
      <c r="Q205" s="31">
        <v>2.7773370000000002</v>
      </c>
      <c r="R205" s="31">
        <v>2.8746779999999998</v>
      </c>
      <c r="S205" s="31">
        <v>2.899708</v>
      </c>
      <c r="T205" s="31">
        <v>2.2767900000000001</v>
      </c>
      <c r="U205" s="32"/>
      <c r="V205" s="32"/>
      <c r="W205" s="32"/>
      <c r="X205" s="32"/>
      <c r="Y205" s="30">
        <v>3.1323970000000001</v>
      </c>
      <c r="Z205" s="30">
        <v>2.622271</v>
      </c>
      <c r="AA205" s="30">
        <v>2.6363669999999999</v>
      </c>
      <c r="AB205" s="30">
        <v>2.7578909999999999</v>
      </c>
      <c r="AC205" s="30">
        <v>2.7650760000000001</v>
      </c>
      <c r="AD205" s="31">
        <v>2.5591460000000001</v>
      </c>
      <c r="AE205" s="31">
        <v>2.5688550000000001</v>
      </c>
      <c r="AF205" s="31">
        <v>2.6019290000000002</v>
      </c>
      <c r="AG205" s="31">
        <v>2.1698149999999998</v>
      </c>
      <c r="AH205" s="31">
        <v>2.1734239999999998</v>
      </c>
      <c r="AI205" s="32"/>
      <c r="AJ205" s="32"/>
      <c r="AK205" s="30">
        <v>3.5815440000000001</v>
      </c>
      <c r="AL205" s="30">
        <v>3.170064</v>
      </c>
      <c r="AM205" s="30">
        <v>3.1820149999999998</v>
      </c>
      <c r="AN205" s="31">
        <v>2.8991319999999998</v>
      </c>
      <c r="AO205" s="31">
        <v>3.0931540000000002</v>
      </c>
      <c r="AP205" s="31">
        <v>3.0990669999999998</v>
      </c>
      <c r="AQ205" s="31">
        <v>2.3869910000000001</v>
      </c>
      <c r="AR205" s="32"/>
      <c r="AS205" s="32"/>
      <c r="AT205" s="30">
        <v>2.3687040000000001</v>
      </c>
      <c r="AU205" s="30">
        <v>1.7968489999999999</v>
      </c>
      <c r="AV205" s="31">
        <v>1.7902769999999999</v>
      </c>
      <c r="AW205" s="31">
        <v>1.7613780000000001</v>
      </c>
      <c r="AX205" s="31">
        <v>1.6725429999999999</v>
      </c>
      <c r="AY205" s="32"/>
      <c r="AZ205" s="32"/>
      <c r="BA205" s="30">
        <v>3.7794750000000001</v>
      </c>
      <c r="BB205" s="30">
        <v>2.4186649999999998</v>
      </c>
      <c r="BC205" s="31">
        <v>3.1260059999999998</v>
      </c>
      <c r="BD205" s="31">
        <v>2.4186649999999998</v>
      </c>
    </row>
    <row r="206" spans="1:56" x14ac:dyDescent="0.3">
      <c r="A206" s="43"/>
      <c r="B206" s="43"/>
      <c r="C206" s="10" t="s">
        <v>374</v>
      </c>
      <c r="D206" s="3" t="s">
        <v>388</v>
      </c>
      <c r="E206" s="3" t="s">
        <v>389</v>
      </c>
      <c r="F206" s="3" t="s">
        <v>387</v>
      </c>
      <c r="G206" s="32"/>
      <c r="H206" s="32"/>
      <c r="I206" s="32"/>
      <c r="J206" s="32"/>
      <c r="K206" s="32"/>
      <c r="L206" s="30">
        <v>1.268602</v>
      </c>
      <c r="M206" s="30">
        <v>0.88298299999999996</v>
      </c>
      <c r="N206" s="30">
        <v>0.87633499999999998</v>
      </c>
      <c r="O206" s="30">
        <v>0.56826500000000002</v>
      </c>
      <c r="P206" s="30">
        <v>0.56910000000000005</v>
      </c>
      <c r="Q206" s="31">
        <v>0.76456500000000005</v>
      </c>
      <c r="R206" s="31">
        <v>0.840561</v>
      </c>
      <c r="S206" s="31">
        <v>0.80691000000000002</v>
      </c>
      <c r="T206" s="31">
        <v>0.444193</v>
      </c>
      <c r="U206" s="32"/>
      <c r="V206" s="32"/>
      <c r="W206" s="32"/>
      <c r="X206" s="32"/>
      <c r="Y206" s="30">
        <v>1.908515</v>
      </c>
      <c r="Z206" s="30">
        <v>0.62112900000000004</v>
      </c>
      <c r="AA206" s="30">
        <v>0.63851500000000005</v>
      </c>
      <c r="AB206" s="30">
        <v>0.30368400000000001</v>
      </c>
      <c r="AC206" s="30">
        <v>0.45428400000000002</v>
      </c>
      <c r="AD206" s="31">
        <v>1.0228660000000001</v>
      </c>
      <c r="AE206" s="31">
        <v>0.55429200000000001</v>
      </c>
      <c r="AF206" s="31">
        <v>0.68990300000000004</v>
      </c>
      <c r="AG206" s="31">
        <v>0.33028800000000003</v>
      </c>
      <c r="AH206" s="31">
        <v>0.58211999999999997</v>
      </c>
      <c r="AI206" s="32"/>
      <c r="AJ206" s="32"/>
      <c r="AK206" s="30">
        <v>3.3368639999999998</v>
      </c>
      <c r="AL206" s="30">
        <v>0.60139600000000004</v>
      </c>
      <c r="AM206" s="30">
        <v>0.58503000000000005</v>
      </c>
      <c r="AN206" s="31">
        <v>1.0138929999999999</v>
      </c>
      <c r="AO206" s="31">
        <v>0.60267400000000004</v>
      </c>
      <c r="AP206" s="31">
        <v>0.374052</v>
      </c>
      <c r="AQ206" s="31">
        <v>0.42380499999999999</v>
      </c>
      <c r="AR206" s="32"/>
      <c r="AS206" s="32"/>
      <c r="AT206" s="30">
        <v>4.1358379999999997</v>
      </c>
      <c r="AU206" s="30">
        <v>0.68438699999999997</v>
      </c>
      <c r="AV206" s="31">
        <v>1.706976</v>
      </c>
      <c r="AW206" s="31">
        <v>0.62328700000000004</v>
      </c>
      <c r="AX206" s="31">
        <v>1.439986</v>
      </c>
      <c r="AY206" s="32"/>
      <c r="AZ206" s="32"/>
      <c r="BA206" s="30">
        <v>3.8580489999999998</v>
      </c>
      <c r="BB206" s="30">
        <v>0</v>
      </c>
      <c r="BC206" s="31">
        <v>1.3231440000000001</v>
      </c>
      <c r="BD206" s="31">
        <v>0</v>
      </c>
    </row>
    <row r="207" spans="1:56" x14ac:dyDescent="0.3">
      <c r="A207" s="43"/>
      <c r="B207" s="43"/>
      <c r="C207" s="10" t="s">
        <v>374</v>
      </c>
      <c r="D207" s="3" t="s">
        <v>390</v>
      </c>
      <c r="E207" s="3" t="s">
        <v>391</v>
      </c>
      <c r="F207" s="3" t="s">
        <v>387</v>
      </c>
      <c r="G207" s="32"/>
      <c r="H207" s="32"/>
      <c r="I207" s="32"/>
      <c r="J207" s="32"/>
      <c r="K207" s="32"/>
      <c r="L207" s="30">
        <v>3.5037929999999999</v>
      </c>
      <c r="M207" s="30">
        <v>3.211004</v>
      </c>
      <c r="N207" s="30">
        <v>3.2232340000000002</v>
      </c>
      <c r="O207" s="30">
        <v>3.2286589999999999</v>
      </c>
      <c r="P207" s="30">
        <v>3.2273999999999998</v>
      </c>
      <c r="Q207" s="31">
        <v>3.0752320000000002</v>
      </c>
      <c r="R207" s="31">
        <v>3.1202459999999999</v>
      </c>
      <c r="S207" s="31">
        <v>3.1555260000000001</v>
      </c>
      <c r="T207" s="31">
        <v>2.3266149999999999</v>
      </c>
      <c r="U207" s="32"/>
      <c r="V207" s="32"/>
      <c r="W207" s="32"/>
      <c r="X207" s="32"/>
      <c r="Y207" s="30">
        <v>3.391006</v>
      </c>
      <c r="Z207" s="30">
        <v>2.741886</v>
      </c>
      <c r="AA207" s="30">
        <v>2.7654909999999999</v>
      </c>
      <c r="AB207" s="30">
        <v>2.9832909999999999</v>
      </c>
      <c r="AC207" s="30">
        <v>2.9740190000000002</v>
      </c>
      <c r="AD207" s="31">
        <v>2.8215400000000002</v>
      </c>
      <c r="AE207" s="31">
        <v>2.7108590000000001</v>
      </c>
      <c r="AF207" s="31">
        <v>2.7642899999999999</v>
      </c>
      <c r="AG207" s="31">
        <v>2.2647029999999999</v>
      </c>
      <c r="AH207" s="31">
        <v>2.260561</v>
      </c>
      <c r="AI207" s="32"/>
      <c r="AJ207" s="32"/>
      <c r="AK207" s="30">
        <v>3.8086519999999999</v>
      </c>
      <c r="AL207" s="30">
        <v>3.3918849999999998</v>
      </c>
      <c r="AM207" s="30">
        <v>3.4152610000000001</v>
      </c>
      <c r="AN207" s="31">
        <v>3.1808019999999999</v>
      </c>
      <c r="AO207" s="31">
        <v>3.300408</v>
      </c>
      <c r="AP207" s="31">
        <v>3.3272390000000001</v>
      </c>
      <c r="AQ207" s="31">
        <v>2.4537279999999999</v>
      </c>
      <c r="AR207" s="32"/>
      <c r="AS207" s="32"/>
      <c r="AT207" s="30">
        <v>2.6121340000000002</v>
      </c>
      <c r="AU207" s="30">
        <v>1.8991880000000001</v>
      </c>
      <c r="AV207" s="31">
        <v>1.951684</v>
      </c>
      <c r="AW207" s="31">
        <v>1.860098</v>
      </c>
      <c r="AX207" s="31">
        <v>1.846168</v>
      </c>
      <c r="AY207" s="32"/>
      <c r="AZ207" s="32"/>
      <c r="BA207" s="30">
        <v>3.9185430000000001</v>
      </c>
      <c r="BB207" s="30">
        <v>2.4186649999999998</v>
      </c>
      <c r="BC207" s="31">
        <v>3.257587</v>
      </c>
      <c r="BD207" s="31">
        <v>2.4186649999999998</v>
      </c>
    </row>
    <row r="208" spans="1:56" x14ac:dyDescent="0.3">
      <c r="A208" s="43"/>
      <c r="B208" s="43"/>
      <c r="C208" s="10" t="s">
        <v>374</v>
      </c>
      <c r="D208" s="3" t="s">
        <v>392</v>
      </c>
      <c r="E208" s="3" t="s">
        <v>393</v>
      </c>
      <c r="F208" s="3" t="s">
        <v>394</v>
      </c>
      <c r="G208" s="29">
        <v>5.0673620000000001</v>
      </c>
      <c r="H208" s="29">
        <v>1.619567</v>
      </c>
      <c r="I208" s="29">
        <v>0</v>
      </c>
      <c r="J208" s="29">
        <v>0</v>
      </c>
      <c r="K208" s="29">
        <v>0</v>
      </c>
      <c r="L208" s="30">
        <v>6.8872460000000002</v>
      </c>
      <c r="M208" s="30">
        <v>1.560738</v>
      </c>
      <c r="N208" s="30">
        <v>1.5765709999999999</v>
      </c>
      <c r="O208" s="30">
        <v>0</v>
      </c>
      <c r="P208" s="30">
        <v>0</v>
      </c>
      <c r="Q208" s="31">
        <v>5.3815650000000002</v>
      </c>
      <c r="R208" s="31">
        <v>1.596058</v>
      </c>
      <c r="S208" s="31">
        <v>1.613513</v>
      </c>
      <c r="T208" s="31">
        <v>0</v>
      </c>
      <c r="U208" s="29">
        <v>4.5551729999999999</v>
      </c>
      <c r="V208" s="29">
        <v>1.5496829999999999</v>
      </c>
      <c r="W208" s="29">
        <v>0</v>
      </c>
      <c r="X208" s="29">
        <v>0</v>
      </c>
      <c r="Y208" s="30">
        <v>7.254003</v>
      </c>
      <c r="Z208" s="30">
        <v>1.4746189999999999</v>
      </c>
      <c r="AA208" s="30">
        <v>1.4672430000000001</v>
      </c>
      <c r="AB208" s="30">
        <v>0.78998999999999997</v>
      </c>
      <c r="AC208" s="30">
        <v>0.78998999999999997</v>
      </c>
      <c r="AD208" s="31">
        <v>4.7237</v>
      </c>
      <c r="AE208" s="31">
        <v>1.55331</v>
      </c>
      <c r="AF208" s="31">
        <v>1.552457</v>
      </c>
      <c r="AG208" s="31">
        <v>0</v>
      </c>
      <c r="AH208" s="31">
        <v>0</v>
      </c>
      <c r="AI208" s="29">
        <v>3.6056349999999999</v>
      </c>
      <c r="AJ208" s="29">
        <v>1.2942769999999999</v>
      </c>
      <c r="AK208" s="30">
        <v>8.0248270000000002</v>
      </c>
      <c r="AL208" s="30">
        <v>1.1383300000000001</v>
      </c>
      <c r="AM208" s="30">
        <v>1.1430009999999999</v>
      </c>
      <c r="AN208" s="31">
        <v>3.6920829999999998</v>
      </c>
      <c r="AO208" s="31">
        <v>1.268222</v>
      </c>
      <c r="AP208" s="31">
        <v>1.284915</v>
      </c>
      <c r="AQ208" s="31">
        <v>0</v>
      </c>
      <c r="AR208" s="29">
        <v>4.9620449999999998</v>
      </c>
      <c r="AS208" s="29">
        <v>1.4072389999999999</v>
      </c>
      <c r="AT208" s="30">
        <v>11.590304</v>
      </c>
      <c r="AU208" s="30">
        <v>1.2638739999999999</v>
      </c>
      <c r="AV208" s="31">
        <v>5.0056669999999999</v>
      </c>
      <c r="AW208" s="31">
        <v>1.4119999999999999</v>
      </c>
      <c r="AX208" s="31">
        <v>4.4262300000000003</v>
      </c>
      <c r="AY208" s="29">
        <v>2.452029</v>
      </c>
      <c r="AZ208" s="29">
        <v>0</v>
      </c>
      <c r="BA208" s="30">
        <v>6.3774889999999997</v>
      </c>
      <c r="BB208" s="30">
        <v>0</v>
      </c>
      <c r="BC208" s="31">
        <v>2.4009339999999999</v>
      </c>
      <c r="BD208" s="31">
        <v>0</v>
      </c>
    </row>
    <row r="209" spans="1:56" x14ac:dyDescent="0.3">
      <c r="A209" s="43"/>
      <c r="B209" s="43"/>
      <c r="C209" s="10" t="s">
        <v>374</v>
      </c>
      <c r="D209" s="3" t="s">
        <v>395</v>
      </c>
      <c r="E209" s="3" t="s">
        <v>396</v>
      </c>
      <c r="F209" s="3" t="s">
        <v>397</v>
      </c>
      <c r="G209" s="29">
        <v>4.5168189999999999</v>
      </c>
      <c r="H209" s="29">
        <v>4.6808959999999997</v>
      </c>
      <c r="I209" s="29">
        <v>4.3841840000000003</v>
      </c>
      <c r="J209" s="29">
        <v>4.3841840000000003</v>
      </c>
      <c r="K209" s="29">
        <v>4.3841840000000003</v>
      </c>
      <c r="L209" s="30">
        <v>5.803706</v>
      </c>
      <c r="M209" s="30">
        <v>4.9677980000000002</v>
      </c>
      <c r="N209" s="30">
        <v>4.963883</v>
      </c>
      <c r="O209" s="30">
        <v>5.2683840000000002</v>
      </c>
      <c r="P209" s="30">
        <v>5.2683999999999997</v>
      </c>
      <c r="Q209" s="31">
        <v>4.5075070000000004</v>
      </c>
      <c r="R209" s="31">
        <v>4.674779</v>
      </c>
      <c r="S209" s="31">
        <v>4.665959</v>
      </c>
      <c r="T209" s="31">
        <v>4.3659850000000002</v>
      </c>
      <c r="U209" s="29">
        <v>4.278613</v>
      </c>
      <c r="V209" s="29">
        <v>4.3053109999999997</v>
      </c>
      <c r="W209" s="29">
        <v>4.0274340000000004</v>
      </c>
      <c r="X209" s="29">
        <v>4.0274340000000004</v>
      </c>
      <c r="Y209" s="30">
        <v>5.4554369999999999</v>
      </c>
      <c r="Z209" s="30">
        <v>4.6163800000000004</v>
      </c>
      <c r="AA209" s="30">
        <v>4.6070229999999999</v>
      </c>
      <c r="AB209" s="30">
        <v>4.8751129999999998</v>
      </c>
      <c r="AC209" s="30">
        <v>4.8754730000000004</v>
      </c>
      <c r="AD209" s="31">
        <v>4.2732150000000004</v>
      </c>
      <c r="AE209" s="31">
        <v>4.3104820000000004</v>
      </c>
      <c r="AF209" s="31">
        <v>4.294467</v>
      </c>
      <c r="AG209" s="31">
        <v>4.0004679999999997</v>
      </c>
      <c r="AH209" s="31">
        <v>4.000807</v>
      </c>
      <c r="AI209" s="29">
        <v>4.9053519999999997</v>
      </c>
      <c r="AJ209" s="29">
        <v>4.9958720000000003</v>
      </c>
      <c r="AK209" s="30">
        <v>6.3584319999999996</v>
      </c>
      <c r="AL209" s="30">
        <v>5.2839159999999996</v>
      </c>
      <c r="AM209" s="30">
        <v>5.2801729999999996</v>
      </c>
      <c r="AN209" s="31">
        <v>4.9030820000000004</v>
      </c>
      <c r="AO209" s="31">
        <v>4.9836790000000004</v>
      </c>
      <c r="AP209" s="31">
        <v>4.9759580000000003</v>
      </c>
      <c r="AQ209" s="31">
        <v>4.6773119999999997</v>
      </c>
      <c r="AR209" s="29">
        <v>2.9854579999999999</v>
      </c>
      <c r="AS209" s="29">
        <v>2.785609</v>
      </c>
      <c r="AT209" s="30">
        <v>4.0329800000000002</v>
      </c>
      <c r="AU209" s="30">
        <v>2.9315329999999999</v>
      </c>
      <c r="AV209" s="31">
        <v>2.976248</v>
      </c>
      <c r="AW209" s="31">
        <v>2.784592</v>
      </c>
      <c r="AX209" s="31">
        <v>2.7563589999999998</v>
      </c>
      <c r="AY209" s="29">
        <v>5.3785910000000001</v>
      </c>
      <c r="AZ209" s="29">
        <v>4.0161680000000004</v>
      </c>
      <c r="BA209" s="30">
        <v>6.5651130000000002</v>
      </c>
      <c r="BB209" s="30">
        <v>4.0161680000000004</v>
      </c>
      <c r="BC209" s="31">
        <v>5.3632559999999998</v>
      </c>
      <c r="BD209" s="31">
        <v>4.0161680000000004</v>
      </c>
    </row>
    <row r="210" spans="1:56" s="24" customFormat="1" x14ac:dyDescent="0.3">
      <c r="A210" s="43"/>
      <c r="B210" s="43"/>
      <c r="C210" s="19" t="s">
        <v>374</v>
      </c>
      <c r="D210" s="24" t="s">
        <v>398</v>
      </c>
      <c r="E210" s="24" t="s">
        <v>399</v>
      </c>
      <c r="F210" s="24" t="s">
        <v>397</v>
      </c>
      <c r="G210" s="35">
        <v>6.0096059999999998</v>
      </c>
      <c r="H210" s="35">
        <v>5.3011100000000004</v>
      </c>
      <c r="I210" s="35">
        <v>4.6227220000000004</v>
      </c>
      <c r="J210" s="35">
        <v>4.6227220000000004</v>
      </c>
      <c r="K210" s="35">
        <v>4.6227220000000004</v>
      </c>
      <c r="L210" s="36">
        <v>8.1236119999999996</v>
      </c>
      <c r="M210" s="36">
        <v>6.0054699999999999</v>
      </c>
      <c r="N210" s="36">
        <v>5.9924080000000002</v>
      </c>
      <c r="O210" s="36">
        <v>5.1452159999999996</v>
      </c>
      <c r="P210" s="36">
        <v>5.1452</v>
      </c>
      <c r="Q210" s="37">
        <v>6.0339470000000004</v>
      </c>
      <c r="R210" s="37">
        <v>5.2789169999999999</v>
      </c>
      <c r="S210" s="37">
        <v>5.2549530000000004</v>
      </c>
      <c r="T210" s="37">
        <v>4.6114129999999998</v>
      </c>
      <c r="U210" s="35">
        <v>5.6385930000000002</v>
      </c>
      <c r="V210" s="35">
        <v>4.9827659999999998</v>
      </c>
      <c r="W210" s="35">
        <v>4.3779430000000001</v>
      </c>
      <c r="X210" s="35">
        <v>4.3779430000000001</v>
      </c>
      <c r="Y210" s="36">
        <v>8.4984800000000007</v>
      </c>
      <c r="Z210" s="36">
        <v>5.7809860000000004</v>
      </c>
      <c r="AA210" s="36">
        <v>5.7463309999999996</v>
      </c>
      <c r="AB210" s="36">
        <v>4.9286329999999996</v>
      </c>
      <c r="AC210" s="36">
        <v>4.9288400000000001</v>
      </c>
      <c r="AD210" s="37">
        <v>5.6691770000000004</v>
      </c>
      <c r="AE210" s="37">
        <v>4.9933129999999997</v>
      </c>
      <c r="AF210" s="37">
        <v>4.9509220000000003</v>
      </c>
      <c r="AG210" s="37">
        <v>4.3615300000000001</v>
      </c>
      <c r="AH210" s="37">
        <v>4.3617460000000001</v>
      </c>
      <c r="AI210" s="35">
        <v>6.3538220000000001</v>
      </c>
      <c r="AJ210" s="35">
        <v>5.6000430000000003</v>
      </c>
      <c r="AK210" s="36">
        <v>8.2904180000000007</v>
      </c>
      <c r="AL210" s="36">
        <v>6.3754299999999997</v>
      </c>
      <c r="AM210" s="36">
        <v>6.3617929999999996</v>
      </c>
      <c r="AN210" s="37">
        <v>6.3872879999999999</v>
      </c>
      <c r="AO210" s="37">
        <v>5.5754659999999996</v>
      </c>
      <c r="AP210" s="37">
        <v>5.5523239999999996</v>
      </c>
      <c r="AQ210" s="37">
        <v>4.8218569999999996</v>
      </c>
      <c r="AR210" s="35">
        <v>3.9652229999999999</v>
      </c>
      <c r="AS210" s="35">
        <v>3.0527920000000002</v>
      </c>
      <c r="AT210" s="36">
        <v>7.3293559999999998</v>
      </c>
      <c r="AU210" s="36">
        <v>3.389408</v>
      </c>
      <c r="AV210" s="37">
        <v>3.9872740000000002</v>
      </c>
      <c r="AW210" s="37">
        <v>3.0476960000000002</v>
      </c>
      <c r="AX210" s="37">
        <v>3.642207</v>
      </c>
      <c r="AY210" s="35">
        <v>6.7683169999999997</v>
      </c>
      <c r="AZ210" s="35">
        <v>4.0161680000000004</v>
      </c>
      <c r="BA210" s="36">
        <v>8.8559730000000005</v>
      </c>
      <c r="BB210" s="36">
        <v>4.0161680000000004</v>
      </c>
      <c r="BC210" s="37">
        <v>6.8313600000000001</v>
      </c>
      <c r="BD210" s="37">
        <v>4.0161680000000004</v>
      </c>
    </row>
    <row r="211" spans="1:56" x14ac:dyDescent="0.3">
      <c r="A211" s="43"/>
      <c r="B211" s="43"/>
      <c r="C211" s="10" t="s">
        <v>374</v>
      </c>
      <c r="D211" s="3" t="s">
        <v>400</v>
      </c>
      <c r="E211" s="3" t="s">
        <v>401</v>
      </c>
      <c r="F211" s="3" t="s">
        <v>397</v>
      </c>
      <c r="G211" s="32"/>
      <c r="H211" s="32"/>
      <c r="I211" s="32"/>
      <c r="J211" s="32"/>
      <c r="K211" s="32"/>
      <c r="L211" s="30"/>
      <c r="M211" s="30"/>
      <c r="N211" s="33"/>
      <c r="O211" s="33"/>
      <c r="P211" s="33"/>
      <c r="Q211" s="31"/>
      <c r="R211" s="31"/>
      <c r="S211" s="34"/>
      <c r="T211" s="34"/>
      <c r="U211" s="32"/>
      <c r="V211" s="32"/>
      <c r="W211" s="32"/>
      <c r="X211" s="32"/>
      <c r="Y211" s="30"/>
      <c r="Z211" s="30"/>
      <c r="AA211" s="33"/>
      <c r="AB211" s="33"/>
      <c r="AC211" s="33"/>
      <c r="AD211" s="31"/>
      <c r="AE211" s="31"/>
      <c r="AF211" s="34"/>
      <c r="AG211" s="34"/>
      <c r="AH211" s="34"/>
      <c r="AI211" s="32"/>
      <c r="AJ211" s="32"/>
      <c r="AK211" s="30"/>
      <c r="AL211" s="30"/>
      <c r="AM211" s="33"/>
      <c r="AN211" s="31"/>
      <c r="AO211" s="31"/>
      <c r="AP211" s="34"/>
      <c r="AQ211" s="34"/>
      <c r="AR211" s="32"/>
      <c r="AS211" s="32"/>
      <c r="AT211" s="30"/>
      <c r="AU211" s="30"/>
      <c r="AV211" s="31"/>
      <c r="AW211" s="31"/>
      <c r="AX211" s="34"/>
      <c r="AY211" s="32"/>
      <c r="AZ211" s="32"/>
      <c r="BA211" s="30"/>
      <c r="BB211" s="30"/>
      <c r="BC211" s="31"/>
      <c r="BD211" s="31"/>
    </row>
    <row r="212" spans="1:56" s="24" customFormat="1" x14ac:dyDescent="0.3">
      <c r="A212" s="43"/>
      <c r="B212" s="43"/>
      <c r="C212" s="19" t="s">
        <v>374</v>
      </c>
      <c r="D212" s="24" t="s">
        <v>402</v>
      </c>
      <c r="E212" s="24" t="s">
        <v>403</v>
      </c>
      <c r="F212" s="24" t="s">
        <v>404</v>
      </c>
      <c r="G212" s="38"/>
      <c r="H212" s="38"/>
      <c r="I212" s="38"/>
      <c r="J212" s="38"/>
      <c r="K212" s="38"/>
      <c r="L212" s="39"/>
      <c r="M212" s="39"/>
      <c r="N212" s="39"/>
      <c r="O212" s="39"/>
      <c r="P212" s="39"/>
      <c r="Q212" s="37">
        <v>1605.0259960000001</v>
      </c>
      <c r="R212" s="37">
        <v>1472.701652</v>
      </c>
      <c r="S212" s="37">
        <v>1267.6731259999999</v>
      </c>
      <c r="T212" s="37">
        <v>1111.1379669999999</v>
      </c>
      <c r="U212" s="38"/>
      <c r="V212" s="38"/>
      <c r="W212" s="38"/>
      <c r="X212" s="38"/>
      <c r="Y212" s="39"/>
      <c r="Z212" s="39"/>
      <c r="AA212" s="39"/>
      <c r="AB212" s="39"/>
      <c r="AC212" s="39"/>
      <c r="AD212" s="37">
        <v>1521.2857019999999</v>
      </c>
      <c r="AE212" s="37">
        <v>1391.9654009999999</v>
      </c>
      <c r="AF212" s="37">
        <v>1191.349346</v>
      </c>
      <c r="AG212" s="37">
        <v>1052.792357</v>
      </c>
      <c r="AH212" s="37">
        <v>998.14640199999997</v>
      </c>
      <c r="AI212" s="38"/>
      <c r="AJ212" s="38"/>
      <c r="AK212" s="39"/>
      <c r="AL212" s="39"/>
      <c r="AM212" s="39"/>
      <c r="AN212" s="37">
        <v>1692.1232219999999</v>
      </c>
      <c r="AO212" s="37">
        <v>1544.880576</v>
      </c>
      <c r="AP212" s="37">
        <v>1335.656547</v>
      </c>
      <c r="AQ212" s="37">
        <v>1156.379999</v>
      </c>
      <c r="AR212" s="38"/>
      <c r="AS212" s="38"/>
      <c r="AT212" s="39"/>
      <c r="AU212" s="39"/>
      <c r="AV212" s="37">
        <v>1139.558409</v>
      </c>
      <c r="AW212" s="37">
        <v>952.79339400000003</v>
      </c>
      <c r="AX212" s="37">
        <v>828.20120499999996</v>
      </c>
      <c r="AY212" s="38"/>
      <c r="AZ212" s="38"/>
      <c r="BA212" s="39"/>
      <c r="BB212" s="39"/>
      <c r="BC212" s="37">
        <v>1832.4508760000001</v>
      </c>
      <c r="BD212" s="37">
        <v>1230.4723739999999</v>
      </c>
    </row>
    <row r="213" spans="1:56" x14ac:dyDescent="0.3">
      <c r="A213" s="43"/>
      <c r="B213" s="43"/>
      <c r="C213" s="10" t="s">
        <v>374</v>
      </c>
      <c r="D213" s="3" t="s">
        <v>405</v>
      </c>
      <c r="E213" s="3" t="s">
        <v>406</v>
      </c>
      <c r="F213" s="3" t="s">
        <v>397</v>
      </c>
      <c r="G213" s="29">
        <v>4.7052999999999998E-2</v>
      </c>
      <c r="H213" s="29">
        <v>4.8037000000000003E-2</v>
      </c>
      <c r="I213" s="29">
        <v>4.4838999999999997E-2</v>
      </c>
      <c r="J213" s="29">
        <v>4.4838999999999997E-2</v>
      </c>
      <c r="K213" s="29">
        <v>4.4838999999999997E-2</v>
      </c>
      <c r="L213" s="33"/>
      <c r="M213" s="33"/>
      <c r="N213" s="33"/>
      <c r="O213" s="33"/>
      <c r="P213" s="33"/>
      <c r="Q213" s="34"/>
      <c r="R213" s="34"/>
      <c r="S213" s="34"/>
      <c r="T213" s="34"/>
      <c r="U213" s="29">
        <v>4.6108999999999997E-2</v>
      </c>
      <c r="V213" s="29">
        <v>4.6170000000000003E-2</v>
      </c>
      <c r="W213" s="29">
        <v>4.3499000000000003E-2</v>
      </c>
      <c r="X213" s="29">
        <v>4.3499000000000003E-2</v>
      </c>
      <c r="Y213" s="33"/>
      <c r="Z213" s="33"/>
      <c r="AA213" s="33"/>
      <c r="AB213" s="33"/>
      <c r="AC213" s="33"/>
      <c r="AD213" s="34"/>
      <c r="AE213" s="34"/>
      <c r="AF213" s="34"/>
      <c r="AG213" s="34"/>
      <c r="AH213" s="34"/>
      <c r="AI213" s="29">
        <v>4.8999000000000001E-2</v>
      </c>
      <c r="AJ213" s="29">
        <v>4.9362000000000003E-2</v>
      </c>
      <c r="AK213" s="33"/>
      <c r="AL213" s="33"/>
      <c r="AM213" s="33"/>
      <c r="AN213" s="34"/>
      <c r="AO213" s="34"/>
      <c r="AP213" s="34"/>
      <c r="AQ213" s="34"/>
      <c r="AR213" s="29">
        <v>4.1822999999999999E-2</v>
      </c>
      <c r="AS213" s="29">
        <v>4.0979000000000002E-2</v>
      </c>
      <c r="AT213" s="33"/>
      <c r="AU213" s="33"/>
      <c r="AV213" s="34"/>
      <c r="AW213" s="34"/>
      <c r="AX213" s="34"/>
      <c r="AY213" s="29">
        <v>5.6453999999999997E-2</v>
      </c>
      <c r="AZ213" s="29">
        <v>5.0890999999999999E-2</v>
      </c>
      <c r="BA213" s="33"/>
      <c r="BB213" s="33"/>
      <c r="BC213" s="34"/>
      <c r="BD213" s="34"/>
    </row>
    <row r="214" spans="1:56" s="24" customFormat="1" x14ac:dyDescent="0.3">
      <c r="A214" s="43"/>
      <c r="B214" s="43"/>
      <c r="C214" s="19" t="s">
        <v>374</v>
      </c>
      <c r="D214" s="24" t="s">
        <v>407</v>
      </c>
      <c r="E214" s="24" t="s">
        <v>408</v>
      </c>
      <c r="F214" s="24" t="s">
        <v>404</v>
      </c>
      <c r="G214" s="35">
        <v>1365.249863</v>
      </c>
      <c r="H214" s="35">
        <v>1247.332484</v>
      </c>
      <c r="I214" s="35">
        <v>1099.962027</v>
      </c>
      <c r="J214" s="35">
        <v>1099.962027</v>
      </c>
      <c r="K214" s="35">
        <v>1002.968131</v>
      </c>
      <c r="L214" s="39"/>
      <c r="M214" s="39"/>
      <c r="N214" s="39"/>
      <c r="O214" s="39"/>
      <c r="P214" s="39"/>
      <c r="Q214" s="40"/>
      <c r="R214" s="40"/>
      <c r="S214" s="40"/>
      <c r="T214" s="40"/>
      <c r="U214" s="35">
        <v>1291.3559700000001</v>
      </c>
      <c r="V214" s="35">
        <v>1175.1296440000001</v>
      </c>
      <c r="W214" s="35">
        <v>1045.2428130000001</v>
      </c>
      <c r="X214" s="35">
        <v>1045.2428130000001</v>
      </c>
      <c r="Y214" s="39"/>
      <c r="Z214" s="39"/>
      <c r="AA214" s="39"/>
      <c r="AB214" s="39"/>
      <c r="AC214" s="39"/>
      <c r="AD214" s="40"/>
      <c r="AE214" s="40"/>
      <c r="AF214" s="40"/>
      <c r="AG214" s="40"/>
      <c r="AH214" s="40"/>
      <c r="AI214" s="35">
        <v>1442.7149850000001</v>
      </c>
      <c r="AJ214" s="35">
        <v>1311.5669700000001</v>
      </c>
      <c r="AK214" s="39"/>
      <c r="AL214" s="39"/>
      <c r="AM214" s="39"/>
      <c r="AN214" s="40"/>
      <c r="AO214" s="40"/>
      <c r="AP214" s="40"/>
      <c r="AQ214" s="40"/>
      <c r="AR214" s="35">
        <v>953.49370199999998</v>
      </c>
      <c r="AS214" s="35">
        <v>784.05718300000001</v>
      </c>
      <c r="AT214" s="39"/>
      <c r="AU214" s="39"/>
      <c r="AV214" s="40"/>
      <c r="AW214" s="40"/>
      <c r="AX214" s="40"/>
      <c r="AY214" s="35">
        <v>1562.9422589999999</v>
      </c>
      <c r="AZ214" s="35">
        <v>1026.7662700000001</v>
      </c>
      <c r="BA214" s="39"/>
      <c r="BB214" s="39"/>
      <c r="BC214" s="40"/>
      <c r="BD214" s="40"/>
    </row>
    <row r="215" spans="1:56" x14ac:dyDescent="0.3">
      <c r="A215" s="43"/>
      <c r="B215" s="43"/>
      <c r="C215" s="10" t="s">
        <v>374</v>
      </c>
      <c r="D215" s="3" t="s">
        <v>400</v>
      </c>
      <c r="E215" s="3" t="s">
        <v>409</v>
      </c>
      <c r="F215" s="3" t="s">
        <v>397</v>
      </c>
      <c r="G215" s="32"/>
      <c r="H215" s="32"/>
      <c r="I215" s="32"/>
      <c r="J215" s="32"/>
      <c r="K215" s="32"/>
      <c r="L215" s="30">
        <v>0.233573</v>
      </c>
      <c r="M215" s="30">
        <v>0.217109</v>
      </c>
      <c r="N215" s="30">
        <v>6.9723999999999994E-2</v>
      </c>
      <c r="O215" s="30">
        <v>6.9217000000000001E-2</v>
      </c>
      <c r="P215" s="30">
        <v>6.9199999999999998E-2</v>
      </c>
      <c r="Q215" s="31">
        <v>0.21150099999999999</v>
      </c>
      <c r="R215" s="31">
        <v>0.21441299999999999</v>
      </c>
      <c r="S215" s="31">
        <v>6.8648000000000001E-2</v>
      </c>
      <c r="T215" s="31">
        <v>5.8214000000000002E-2</v>
      </c>
      <c r="U215" s="32"/>
      <c r="V215" s="32"/>
      <c r="W215" s="32"/>
      <c r="X215" s="32"/>
      <c r="Y215" s="30">
        <v>0.228383</v>
      </c>
      <c r="Z215" s="30">
        <v>0.20522199999999999</v>
      </c>
      <c r="AA215" s="30">
        <v>6.3999E-2</v>
      </c>
      <c r="AB215" s="30">
        <v>6.5837999999999994E-2</v>
      </c>
      <c r="AC215" s="30">
        <v>6.5753000000000006E-2</v>
      </c>
      <c r="AD215" s="31">
        <v>0.20507400000000001</v>
      </c>
      <c r="AE215" s="31">
        <v>0.20338400000000001</v>
      </c>
      <c r="AF215" s="31">
        <v>6.3453999999999997E-2</v>
      </c>
      <c r="AG215" s="31">
        <v>5.6475999999999998E-2</v>
      </c>
      <c r="AH215" s="31">
        <v>5.6439000000000003E-2</v>
      </c>
      <c r="AI215" s="32"/>
      <c r="AJ215" s="32"/>
      <c r="AK215" s="30">
        <v>0.24478</v>
      </c>
      <c r="AL215" s="30">
        <v>0.22276699999999999</v>
      </c>
      <c r="AM215" s="30">
        <v>7.2499999999999995E-2</v>
      </c>
      <c r="AN215" s="31">
        <v>0.21741099999999999</v>
      </c>
      <c r="AO215" s="31">
        <v>0.22026200000000001</v>
      </c>
      <c r="AP215" s="31">
        <v>7.1321999999999997E-2</v>
      </c>
      <c r="AQ215" s="31">
        <v>5.9826999999999998E-2</v>
      </c>
      <c r="AR215" s="32"/>
      <c r="AS215" s="32"/>
      <c r="AT215" s="30">
        <v>0.20519299999999999</v>
      </c>
      <c r="AU215" s="30">
        <v>0.18027299999999999</v>
      </c>
      <c r="AV215" s="31">
        <v>0.182253</v>
      </c>
      <c r="AW215" s="31">
        <v>0.17905399999999999</v>
      </c>
      <c r="AX215" s="31">
        <v>4.9362999999999997E-2</v>
      </c>
      <c r="AY215" s="32"/>
      <c r="AZ215" s="32"/>
      <c r="BA215" s="30">
        <v>0.26399600000000001</v>
      </c>
      <c r="BB215" s="30">
        <v>0.21312600000000001</v>
      </c>
      <c r="BC215" s="31">
        <v>0.23917099999999999</v>
      </c>
      <c r="BD215" s="31">
        <v>0.21312600000000001</v>
      </c>
    </row>
    <row r="216" spans="1:56" x14ac:dyDescent="0.3">
      <c r="A216" s="43"/>
      <c r="B216" s="43"/>
      <c r="C216" s="10" t="s">
        <v>374</v>
      </c>
      <c r="D216" s="3" t="s">
        <v>410</v>
      </c>
      <c r="E216" s="3" t="s">
        <v>411</v>
      </c>
      <c r="F216" s="3" t="s">
        <v>404</v>
      </c>
      <c r="G216" s="32"/>
      <c r="H216" s="32"/>
      <c r="I216" s="32"/>
      <c r="J216" s="32"/>
      <c r="K216" s="32"/>
      <c r="L216" s="30">
        <v>25618.886532</v>
      </c>
      <c r="M216" s="30">
        <v>19724.662520999998</v>
      </c>
      <c r="N216" s="30">
        <v>17864.209459000002</v>
      </c>
      <c r="O216" s="30">
        <v>16210.809251000001</v>
      </c>
      <c r="P216" s="30">
        <v>15699.113600000001</v>
      </c>
      <c r="Q216" s="34"/>
      <c r="R216" s="34"/>
      <c r="S216" s="34"/>
      <c r="T216" s="34"/>
      <c r="U216" s="32"/>
      <c r="V216" s="32"/>
      <c r="W216" s="32"/>
      <c r="X216" s="32"/>
      <c r="Y216" s="30">
        <v>25516.645144999999</v>
      </c>
      <c r="Z216" s="30">
        <v>18478.523809999999</v>
      </c>
      <c r="AA216" s="30">
        <v>16657.201435999999</v>
      </c>
      <c r="AB216" s="30">
        <v>15268.041766</v>
      </c>
      <c r="AC216" s="30">
        <v>14756.346126</v>
      </c>
      <c r="AD216" s="34"/>
      <c r="AE216" s="34"/>
      <c r="AF216" s="34"/>
      <c r="AG216" s="34"/>
      <c r="AH216" s="34"/>
      <c r="AI216" s="32"/>
      <c r="AJ216" s="32"/>
      <c r="AK216" s="30">
        <v>27202.015598999998</v>
      </c>
      <c r="AL216" s="30">
        <v>20891.125502999999</v>
      </c>
      <c r="AM216" s="30">
        <v>18992.413208999998</v>
      </c>
      <c r="AN216" s="34"/>
      <c r="AO216" s="34"/>
      <c r="AP216" s="34"/>
      <c r="AQ216" s="34"/>
      <c r="AR216" s="32"/>
      <c r="AS216" s="32"/>
      <c r="AT216" s="30">
        <v>20563.177143000001</v>
      </c>
      <c r="AU216" s="30">
        <v>11400.004094</v>
      </c>
      <c r="AV216" s="34"/>
      <c r="AW216" s="34"/>
      <c r="AX216" s="34"/>
      <c r="AY216" s="32"/>
      <c r="AZ216" s="32"/>
      <c r="BA216" s="30">
        <v>28704.618366999999</v>
      </c>
      <c r="BB216" s="30">
        <v>15329.269216000001</v>
      </c>
      <c r="BC216" s="34"/>
      <c r="BD216" s="34"/>
    </row>
    <row r="217" spans="1:56" s="24" customFormat="1" x14ac:dyDescent="0.3">
      <c r="A217" s="43"/>
      <c r="B217" s="43"/>
      <c r="C217" s="19" t="s">
        <v>374</v>
      </c>
      <c r="D217" s="24" t="s">
        <v>412</v>
      </c>
      <c r="E217" s="24" t="s">
        <v>413</v>
      </c>
      <c r="F217" s="24" t="s">
        <v>404</v>
      </c>
      <c r="G217" s="38"/>
      <c r="H217" s="38"/>
      <c r="I217" s="38"/>
      <c r="J217" s="38"/>
      <c r="K217" s="38"/>
      <c r="L217" s="36">
        <v>9991.3657480000002</v>
      </c>
      <c r="M217" s="36">
        <v>7692.618383</v>
      </c>
      <c r="N217" s="36">
        <v>6967.0416889999997</v>
      </c>
      <c r="O217" s="36">
        <v>6322.2156080000004</v>
      </c>
      <c r="P217" s="36">
        <v>6122.6543000000001</v>
      </c>
      <c r="Q217" s="40"/>
      <c r="R217" s="40"/>
      <c r="S217" s="40"/>
      <c r="T217" s="40"/>
      <c r="U217" s="38"/>
      <c r="V217" s="38"/>
      <c r="W217" s="38"/>
      <c r="X217" s="38"/>
      <c r="Y217" s="36">
        <v>9951.4916059999996</v>
      </c>
      <c r="Z217" s="36">
        <v>7206.6242860000002</v>
      </c>
      <c r="AA217" s="36">
        <v>6496.3085600000004</v>
      </c>
      <c r="AB217" s="36">
        <v>5954.5362889999997</v>
      </c>
      <c r="AC217" s="36">
        <v>5754.9749890000003</v>
      </c>
      <c r="AD217" s="40"/>
      <c r="AE217" s="40"/>
      <c r="AF217" s="40"/>
      <c r="AG217" s="40"/>
      <c r="AH217" s="40"/>
      <c r="AI217" s="38"/>
      <c r="AJ217" s="38"/>
      <c r="AK217" s="36">
        <v>10608.786083999999</v>
      </c>
      <c r="AL217" s="36">
        <v>8147.5389459999997</v>
      </c>
      <c r="AM217" s="36">
        <v>7407.0411519999998</v>
      </c>
      <c r="AN217" s="40"/>
      <c r="AO217" s="40"/>
      <c r="AP217" s="40"/>
      <c r="AQ217" s="40"/>
      <c r="AR217" s="38"/>
      <c r="AS217" s="38"/>
      <c r="AT217" s="36">
        <v>8019.6390860000001</v>
      </c>
      <c r="AU217" s="36">
        <v>4446.0015970000004</v>
      </c>
      <c r="AV217" s="40"/>
      <c r="AW217" s="40"/>
      <c r="AX217" s="40"/>
      <c r="AY217" s="38"/>
      <c r="AZ217" s="38"/>
      <c r="BA217" s="36">
        <v>11194.801163</v>
      </c>
      <c r="BB217" s="36">
        <v>5978.4149939999998</v>
      </c>
      <c r="BC217" s="40"/>
      <c r="BD217" s="40"/>
    </row>
    <row r="218" spans="1:56" x14ac:dyDescent="0.3">
      <c r="A218" s="43"/>
      <c r="B218" s="43"/>
      <c r="C218" s="10" t="s">
        <v>374</v>
      </c>
      <c r="D218" s="3" t="s">
        <v>414</v>
      </c>
      <c r="E218" s="3" t="s">
        <v>415</v>
      </c>
      <c r="F218" s="3" t="s">
        <v>404</v>
      </c>
      <c r="G218" s="32"/>
      <c r="H218" s="32"/>
      <c r="I218" s="32"/>
      <c r="J218" s="32"/>
      <c r="K218" s="32"/>
      <c r="L218" s="30">
        <v>7188.0329119999997</v>
      </c>
      <c r="M218" s="30">
        <v>5534.2578299999996</v>
      </c>
      <c r="N218" s="30">
        <v>5012.2602079999997</v>
      </c>
      <c r="O218" s="30">
        <v>4548.3565520000002</v>
      </c>
      <c r="P218" s="30">
        <v>4404.7873</v>
      </c>
      <c r="Q218" s="34"/>
      <c r="R218" s="34"/>
      <c r="S218" s="34"/>
      <c r="T218" s="34"/>
      <c r="U218" s="32"/>
      <c r="V218" s="32"/>
      <c r="W218" s="32"/>
      <c r="X218" s="32"/>
      <c r="Y218" s="30">
        <v>7159.3464789999998</v>
      </c>
      <c r="Z218" s="30">
        <v>5184.6217889999998</v>
      </c>
      <c r="AA218" s="30">
        <v>4673.6032809999997</v>
      </c>
      <c r="AB218" s="30">
        <v>4283.8390570000001</v>
      </c>
      <c r="AC218" s="30">
        <v>4140.2697760000001</v>
      </c>
      <c r="AD218" s="34"/>
      <c r="AE218" s="34"/>
      <c r="AF218" s="34"/>
      <c r="AG218" s="34"/>
      <c r="AH218" s="34"/>
      <c r="AI218" s="32"/>
      <c r="AJ218" s="32"/>
      <c r="AK218" s="30">
        <v>7632.2202040000002</v>
      </c>
      <c r="AL218" s="30">
        <v>5861.53881</v>
      </c>
      <c r="AM218" s="30">
        <v>5328.8065839999999</v>
      </c>
      <c r="AN218" s="34"/>
      <c r="AO218" s="34"/>
      <c r="AP218" s="34"/>
      <c r="AQ218" s="34"/>
      <c r="AR218" s="32"/>
      <c r="AS218" s="32"/>
      <c r="AT218" s="30">
        <v>5769.5245219999997</v>
      </c>
      <c r="AU218" s="30">
        <v>3198.5623000000001</v>
      </c>
      <c r="AV218" s="34"/>
      <c r="AW218" s="34"/>
      <c r="AX218" s="34"/>
      <c r="AY218" s="32"/>
      <c r="AZ218" s="32"/>
      <c r="BA218" s="30">
        <v>8053.8137859999997</v>
      </c>
      <c r="BB218" s="30">
        <v>4301.017981</v>
      </c>
      <c r="BC218" s="34"/>
      <c r="BD218" s="34"/>
    </row>
    <row r="219" spans="1:56" x14ac:dyDescent="0.3">
      <c r="A219" s="43"/>
      <c r="B219" s="43"/>
      <c r="C219" s="10" t="s">
        <v>374</v>
      </c>
      <c r="D219" s="3" t="s">
        <v>416</v>
      </c>
      <c r="E219" s="3" t="s">
        <v>417</v>
      </c>
      <c r="F219" s="3" t="s">
        <v>377</v>
      </c>
      <c r="G219" s="32"/>
      <c r="H219" s="32"/>
      <c r="I219" s="32"/>
      <c r="J219" s="32"/>
      <c r="K219" s="32"/>
      <c r="L219" s="33"/>
      <c r="M219" s="33"/>
      <c r="N219" s="33"/>
      <c r="O219" s="33"/>
      <c r="P219" s="33"/>
      <c r="Q219" s="34"/>
      <c r="R219" s="34"/>
      <c r="S219" s="34"/>
      <c r="T219" s="34"/>
      <c r="U219" s="32"/>
      <c r="V219" s="32"/>
      <c r="W219" s="32"/>
      <c r="X219" s="32"/>
      <c r="Y219" s="33"/>
      <c r="Z219" s="33"/>
      <c r="AA219" s="33"/>
      <c r="AB219" s="33"/>
      <c r="AC219" s="33"/>
      <c r="AD219" s="34"/>
      <c r="AE219" s="34"/>
      <c r="AF219" s="34"/>
      <c r="AG219" s="34"/>
      <c r="AH219" s="34"/>
      <c r="AI219" s="32"/>
      <c r="AJ219" s="32"/>
      <c r="AK219" s="33"/>
      <c r="AL219" s="33"/>
      <c r="AM219" s="33"/>
      <c r="AN219" s="34"/>
      <c r="AO219" s="34"/>
      <c r="AP219" s="34"/>
      <c r="AQ219" s="34"/>
      <c r="AR219" s="32"/>
      <c r="AS219" s="32"/>
      <c r="AT219" s="33"/>
      <c r="AU219" s="33"/>
      <c r="AV219" s="34"/>
      <c r="AW219" s="34"/>
      <c r="AX219" s="34"/>
      <c r="AY219" s="32"/>
      <c r="AZ219" s="32"/>
      <c r="BA219" s="33"/>
      <c r="BB219" s="33"/>
      <c r="BC219" s="34"/>
      <c r="BD219" s="34"/>
    </row>
    <row r="220" spans="1:56" x14ac:dyDescent="0.3">
      <c r="A220" s="43"/>
      <c r="B220" s="43"/>
      <c r="C220" s="10" t="s">
        <v>374</v>
      </c>
      <c r="D220" s="3" t="s">
        <v>418</v>
      </c>
      <c r="E220" s="3" t="s">
        <v>419</v>
      </c>
      <c r="F220" s="3" t="s">
        <v>404</v>
      </c>
      <c r="G220" s="32"/>
      <c r="H220" s="32"/>
      <c r="I220" s="32"/>
      <c r="J220" s="32"/>
      <c r="K220" s="32"/>
      <c r="L220" s="33"/>
      <c r="M220" s="33"/>
      <c r="N220" s="33"/>
      <c r="O220" s="33"/>
      <c r="P220" s="33"/>
      <c r="Q220" s="34"/>
      <c r="R220" s="34"/>
      <c r="S220" s="34"/>
      <c r="T220" s="34"/>
      <c r="U220" s="32"/>
      <c r="V220" s="32"/>
      <c r="W220" s="32"/>
      <c r="X220" s="32"/>
      <c r="Y220" s="33"/>
      <c r="Z220" s="33"/>
      <c r="AA220" s="33"/>
      <c r="AB220" s="33"/>
      <c r="AC220" s="33"/>
      <c r="AD220" s="34"/>
      <c r="AE220" s="34"/>
      <c r="AF220" s="34"/>
      <c r="AG220" s="34"/>
      <c r="AH220" s="34"/>
      <c r="AI220" s="32"/>
      <c r="AJ220" s="32"/>
      <c r="AK220" s="33"/>
      <c r="AL220" s="33"/>
      <c r="AM220" s="33"/>
      <c r="AN220" s="34"/>
      <c r="AO220" s="34"/>
      <c r="AP220" s="34"/>
      <c r="AQ220" s="34"/>
      <c r="AR220" s="32"/>
      <c r="AS220" s="32"/>
      <c r="AT220" s="33"/>
      <c r="AU220" s="33"/>
      <c r="AV220" s="34"/>
      <c r="AW220" s="34"/>
      <c r="AX220" s="34"/>
      <c r="AY220" s="32"/>
      <c r="AZ220" s="32"/>
      <c r="BA220" s="33"/>
      <c r="BB220" s="33"/>
      <c r="BC220" s="34"/>
      <c r="BD220" s="34"/>
    </row>
    <row r="221" spans="1:56" x14ac:dyDescent="0.3">
      <c r="A221" s="43"/>
      <c r="B221" s="43"/>
      <c r="C221" s="10" t="s">
        <v>374</v>
      </c>
      <c r="D221" s="3" t="s">
        <v>420</v>
      </c>
      <c r="E221" s="3" t="s">
        <v>421</v>
      </c>
      <c r="F221" s="3" t="s">
        <v>397</v>
      </c>
      <c r="G221" s="32"/>
      <c r="H221" s="32"/>
      <c r="I221" s="32"/>
      <c r="J221" s="32"/>
      <c r="K221" s="32"/>
      <c r="L221" s="33"/>
      <c r="M221" s="33"/>
      <c r="N221" s="33"/>
      <c r="O221" s="33"/>
      <c r="P221" s="33"/>
      <c r="Q221" s="34"/>
      <c r="R221" s="34"/>
      <c r="S221" s="34"/>
      <c r="T221" s="34"/>
      <c r="U221" s="32"/>
      <c r="V221" s="32"/>
      <c r="W221" s="32"/>
      <c r="X221" s="32"/>
      <c r="Y221" s="33"/>
      <c r="Z221" s="33"/>
      <c r="AA221" s="33"/>
      <c r="AB221" s="33"/>
      <c r="AC221" s="33"/>
      <c r="AD221" s="34"/>
      <c r="AE221" s="34"/>
      <c r="AF221" s="34"/>
      <c r="AG221" s="34"/>
      <c r="AH221" s="34"/>
      <c r="AI221" s="32"/>
      <c r="AJ221" s="32"/>
      <c r="AK221" s="33"/>
      <c r="AL221" s="33"/>
      <c r="AM221" s="33"/>
      <c r="AN221" s="34"/>
      <c r="AO221" s="34"/>
      <c r="AP221" s="34"/>
      <c r="AQ221" s="34"/>
      <c r="AR221" s="32"/>
      <c r="AS221" s="32"/>
      <c r="AT221" s="33"/>
      <c r="AU221" s="33"/>
      <c r="AV221" s="34"/>
      <c r="AW221" s="34"/>
      <c r="AX221" s="34"/>
      <c r="AY221" s="32"/>
      <c r="AZ221" s="32"/>
      <c r="BA221" s="33"/>
      <c r="BB221" s="33"/>
      <c r="BC221" s="34"/>
      <c r="BD221" s="34"/>
    </row>
    <row r="222" spans="1:56" x14ac:dyDescent="0.3">
      <c r="A222" s="43"/>
      <c r="B222" s="44"/>
      <c r="C222" s="10"/>
      <c r="G222" s="32"/>
      <c r="H222" s="32"/>
      <c r="I222" s="32"/>
      <c r="J222" s="32"/>
      <c r="K222" s="32"/>
      <c r="L222" s="33"/>
      <c r="M222" s="33"/>
      <c r="N222" s="33"/>
      <c r="O222" s="33"/>
      <c r="P222" s="33"/>
      <c r="Q222" s="34"/>
      <c r="R222" s="34"/>
      <c r="S222" s="34"/>
      <c r="T222" s="34"/>
      <c r="U222" s="32"/>
      <c r="V222" s="32"/>
      <c r="W222" s="32"/>
      <c r="X222" s="32"/>
      <c r="Y222" s="33"/>
      <c r="Z222" s="33"/>
      <c r="AA222" s="33"/>
      <c r="AB222" s="33"/>
      <c r="AC222" s="33"/>
      <c r="AD222" s="34"/>
      <c r="AE222" s="34"/>
      <c r="AF222" s="34"/>
      <c r="AG222" s="34"/>
      <c r="AH222" s="34"/>
      <c r="AI222" s="32"/>
      <c r="AJ222" s="32"/>
      <c r="AK222" s="33"/>
      <c r="AL222" s="33"/>
      <c r="AM222" s="33"/>
      <c r="AN222" s="34"/>
      <c r="AO222" s="34"/>
      <c r="AP222" s="34"/>
      <c r="AQ222" s="34"/>
      <c r="AR222" s="32"/>
      <c r="AS222" s="32"/>
      <c r="AT222" s="33"/>
      <c r="AU222" s="33"/>
      <c r="AV222" s="34"/>
      <c r="AW222" s="34"/>
      <c r="AX222" s="34"/>
      <c r="AY222" s="32"/>
      <c r="AZ222" s="32"/>
      <c r="BA222" s="33"/>
      <c r="BB222" s="33"/>
      <c r="BC222" s="34"/>
      <c r="BD222" s="34"/>
    </row>
    <row r="223" spans="1:56" x14ac:dyDescent="0.3">
      <c r="A223" s="43"/>
      <c r="B223" s="46" t="s">
        <v>422</v>
      </c>
      <c r="C223" s="11" t="s">
        <v>423</v>
      </c>
      <c r="D223" s="6" t="s">
        <v>424</v>
      </c>
      <c r="E223" s="6" t="s">
        <v>425</v>
      </c>
      <c r="F223" s="6" t="s">
        <v>377</v>
      </c>
      <c r="G223" s="29">
        <v>6.005528</v>
      </c>
      <c r="H223" s="29">
        <v>6.4158309999999998</v>
      </c>
      <c r="I223" s="29">
        <v>5.0831429999999997</v>
      </c>
      <c r="J223" s="29">
        <v>5.0831429999999997</v>
      </c>
      <c r="K223" s="29">
        <v>5.0831429999999997</v>
      </c>
      <c r="L223" s="30">
        <v>8.9134100000000007</v>
      </c>
      <c r="M223" s="30">
        <v>6.645384</v>
      </c>
      <c r="N223" s="30">
        <v>6.6426829999999999</v>
      </c>
      <c r="O223" s="30">
        <v>6.3640689999999998</v>
      </c>
      <c r="P223" s="30">
        <v>6.3642000000000003</v>
      </c>
      <c r="Q223" s="31">
        <v>5.9989150000000002</v>
      </c>
      <c r="R223" s="31">
        <v>6.4237409999999997</v>
      </c>
      <c r="S223" s="31">
        <v>6.4189119999999997</v>
      </c>
      <c r="T223" s="31">
        <v>5.04826</v>
      </c>
      <c r="U223" s="29">
        <v>5.6123089999999998</v>
      </c>
      <c r="V223" s="29">
        <v>5.637893</v>
      </c>
      <c r="W223" s="29">
        <v>4.5249629999999996</v>
      </c>
      <c r="X223" s="29">
        <v>4.5249629999999996</v>
      </c>
      <c r="Y223" s="30">
        <v>8.2701259999999994</v>
      </c>
      <c r="Z223" s="30">
        <v>5.909821</v>
      </c>
      <c r="AA223" s="30">
        <v>5.904331</v>
      </c>
      <c r="AB223" s="30">
        <v>5.8131300000000001</v>
      </c>
      <c r="AC223" s="30">
        <v>5.8138509999999997</v>
      </c>
      <c r="AD223" s="31">
        <v>5.6014609999999996</v>
      </c>
      <c r="AE223" s="31">
        <v>5.6508849999999997</v>
      </c>
      <c r="AF223" s="31">
        <v>5.6375250000000001</v>
      </c>
      <c r="AG223" s="31">
        <v>4.4664149999999996</v>
      </c>
      <c r="AH223" s="31">
        <v>4.4670909999999999</v>
      </c>
      <c r="AI223" s="29">
        <v>6.8163580000000001</v>
      </c>
      <c r="AJ223" s="29">
        <v>6.9677990000000003</v>
      </c>
      <c r="AK223" s="30">
        <v>10.087732000000001</v>
      </c>
      <c r="AL223" s="30">
        <v>7.1438439999999996</v>
      </c>
      <c r="AM223" s="30">
        <v>7.1397209999999998</v>
      </c>
      <c r="AN223" s="31">
        <v>6.8115079999999999</v>
      </c>
      <c r="AO223" s="31">
        <v>6.9629890000000003</v>
      </c>
      <c r="AP223" s="31">
        <v>6.9591599999999998</v>
      </c>
      <c r="AQ223" s="31">
        <v>5.2649429999999997</v>
      </c>
      <c r="AR223" s="29">
        <v>3.2128100000000002</v>
      </c>
      <c r="AS223" s="29">
        <v>2.8611460000000002</v>
      </c>
      <c r="AT223" s="30">
        <v>5.4612610000000004</v>
      </c>
      <c r="AU223" s="30">
        <v>2.9725259999999998</v>
      </c>
      <c r="AV223" s="31">
        <v>3.1847979999999998</v>
      </c>
      <c r="AW223" s="31">
        <v>2.865669</v>
      </c>
      <c r="AX223" s="31">
        <v>2.8521800000000002</v>
      </c>
      <c r="AY223" s="29">
        <v>7.7142590000000002</v>
      </c>
      <c r="AZ223" s="29">
        <v>5.3964290000000004</v>
      </c>
      <c r="BA223" s="30">
        <v>10.320969</v>
      </c>
      <c r="BB223" s="30">
        <v>5.3964290000000004</v>
      </c>
      <c r="BC223" s="31">
        <v>7.6693790000000002</v>
      </c>
      <c r="BD223" s="31">
        <v>5.3964290000000004</v>
      </c>
    </row>
    <row r="224" spans="1:56" x14ac:dyDescent="0.3">
      <c r="A224" s="43"/>
      <c r="B224" s="43"/>
      <c r="C224" s="10" t="s">
        <v>423</v>
      </c>
      <c r="D224" s="3" t="s">
        <v>426</v>
      </c>
      <c r="E224" s="3" t="s">
        <v>427</v>
      </c>
      <c r="F224" s="3" t="s">
        <v>387</v>
      </c>
      <c r="G224" s="32"/>
      <c r="H224" s="32"/>
      <c r="I224" s="32"/>
      <c r="J224" s="32"/>
      <c r="K224" s="32"/>
      <c r="L224" s="30">
        <v>3.5037929999999999</v>
      </c>
      <c r="M224" s="30">
        <v>3.211004</v>
      </c>
      <c r="N224" s="30">
        <v>3.2232340000000002</v>
      </c>
      <c r="O224" s="30">
        <v>3.2286589999999999</v>
      </c>
      <c r="P224" s="30">
        <v>3.2273999999999998</v>
      </c>
      <c r="Q224" s="31">
        <v>3.0752320000000002</v>
      </c>
      <c r="R224" s="31">
        <v>3.1202459999999999</v>
      </c>
      <c r="S224" s="31">
        <v>3.1555260000000001</v>
      </c>
      <c r="T224" s="31">
        <v>2.3266149999999999</v>
      </c>
      <c r="U224" s="32"/>
      <c r="V224" s="32"/>
      <c r="W224" s="32"/>
      <c r="X224" s="32"/>
      <c r="Y224" s="30">
        <v>3.391006</v>
      </c>
      <c r="Z224" s="30">
        <v>2.741886</v>
      </c>
      <c r="AA224" s="30">
        <v>2.7654909999999999</v>
      </c>
      <c r="AB224" s="30">
        <v>2.9832909999999999</v>
      </c>
      <c r="AC224" s="30">
        <v>2.9740190000000002</v>
      </c>
      <c r="AD224" s="31">
        <v>2.8215400000000002</v>
      </c>
      <c r="AE224" s="31">
        <v>2.7108590000000001</v>
      </c>
      <c r="AF224" s="31">
        <v>2.7642899999999999</v>
      </c>
      <c r="AG224" s="31">
        <v>2.2647029999999999</v>
      </c>
      <c r="AH224" s="31">
        <v>2.260561</v>
      </c>
      <c r="AI224" s="32"/>
      <c r="AJ224" s="32"/>
      <c r="AK224" s="30">
        <v>3.8086519999999999</v>
      </c>
      <c r="AL224" s="30">
        <v>3.3918849999999998</v>
      </c>
      <c r="AM224" s="30">
        <v>3.4152610000000001</v>
      </c>
      <c r="AN224" s="31">
        <v>3.1808019999999999</v>
      </c>
      <c r="AO224" s="31">
        <v>3.300408</v>
      </c>
      <c r="AP224" s="31">
        <v>3.3272390000000001</v>
      </c>
      <c r="AQ224" s="31">
        <v>2.4537279999999999</v>
      </c>
      <c r="AR224" s="32"/>
      <c r="AS224" s="32"/>
      <c r="AT224" s="30">
        <v>2.6121340000000002</v>
      </c>
      <c r="AU224" s="30">
        <v>1.8991880000000001</v>
      </c>
      <c r="AV224" s="31">
        <v>1.951684</v>
      </c>
      <c r="AW224" s="31">
        <v>1.860098</v>
      </c>
      <c r="AX224" s="31">
        <v>1.846168</v>
      </c>
      <c r="AY224" s="32"/>
      <c r="AZ224" s="32"/>
      <c r="BA224" s="30">
        <v>3.9185430000000001</v>
      </c>
      <c r="BB224" s="30">
        <v>2.4186649999999998</v>
      </c>
      <c r="BC224" s="31">
        <v>3.257587</v>
      </c>
      <c r="BD224" s="31">
        <v>2.4186649999999998</v>
      </c>
    </row>
    <row r="225" spans="1:56" x14ac:dyDescent="0.3">
      <c r="A225" s="43"/>
      <c r="B225" s="43"/>
      <c r="C225" s="10" t="s">
        <v>423</v>
      </c>
      <c r="D225" s="3" t="s">
        <v>428</v>
      </c>
      <c r="E225" s="3" t="s">
        <v>429</v>
      </c>
      <c r="F225" s="3" t="s">
        <v>397</v>
      </c>
      <c r="G225" s="29">
        <v>6.0096059999999998</v>
      </c>
      <c r="H225" s="29">
        <v>5.3011100000000004</v>
      </c>
      <c r="I225" s="29">
        <v>4.6227220000000004</v>
      </c>
      <c r="J225" s="29">
        <v>4.6227220000000004</v>
      </c>
      <c r="K225" s="29">
        <v>4.6227220000000004</v>
      </c>
      <c r="L225" s="30">
        <v>8.1236119999999996</v>
      </c>
      <c r="M225" s="30">
        <v>6.0054699999999999</v>
      </c>
      <c r="N225" s="30">
        <v>5.9924080000000002</v>
      </c>
      <c r="O225" s="30">
        <v>5.1452159999999996</v>
      </c>
      <c r="P225" s="30">
        <v>5.1452</v>
      </c>
      <c r="Q225" s="31">
        <v>6.0339470000000004</v>
      </c>
      <c r="R225" s="31">
        <v>5.2789169999999999</v>
      </c>
      <c r="S225" s="31">
        <v>5.2549530000000004</v>
      </c>
      <c r="T225" s="31">
        <v>4.6114129999999998</v>
      </c>
      <c r="U225" s="29">
        <v>5.6385930000000002</v>
      </c>
      <c r="V225" s="29">
        <v>4.9827659999999998</v>
      </c>
      <c r="W225" s="29">
        <v>4.3779430000000001</v>
      </c>
      <c r="X225" s="29">
        <v>4.3779430000000001</v>
      </c>
      <c r="Y225" s="30">
        <v>8.4984800000000007</v>
      </c>
      <c r="Z225" s="30">
        <v>5.7809860000000004</v>
      </c>
      <c r="AA225" s="30">
        <v>5.7463309999999996</v>
      </c>
      <c r="AB225" s="30">
        <v>4.9286329999999996</v>
      </c>
      <c r="AC225" s="30">
        <v>4.9288400000000001</v>
      </c>
      <c r="AD225" s="31">
        <v>5.6691770000000004</v>
      </c>
      <c r="AE225" s="31">
        <v>4.9933129999999997</v>
      </c>
      <c r="AF225" s="31">
        <v>4.9509220000000003</v>
      </c>
      <c r="AG225" s="31">
        <v>4.3615300000000001</v>
      </c>
      <c r="AH225" s="31">
        <v>4.3617460000000001</v>
      </c>
      <c r="AI225" s="29">
        <v>6.3538220000000001</v>
      </c>
      <c r="AJ225" s="29">
        <v>5.6000430000000003</v>
      </c>
      <c r="AK225" s="30">
        <v>8.2904180000000007</v>
      </c>
      <c r="AL225" s="30">
        <v>6.3754299999999997</v>
      </c>
      <c r="AM225" s="30">
        <v>6.3617929999999996</v>
      </c>
      <c r="AN225" s="31">
        <v>6.3872879999999999</v>
      </c>
      <c r="AO225" s="31">
        <v>5.5754659999999996</v>
      </c>
      <c r="AP225" s="31">
        <v>5.5523239999999996</v>
      </c>
      <c r="AQ225" s="31">
        <v>4.8218569999999996</v>
      </c>
      <c r="AR225" s="29">
        <v>3.9652229999999999</v>
      </c>
      <c r="AS225" s="29">
        <v>3.0527920000000002</v>
      </c>
      <c r="AT225" s="30">
        <v>7.3293559999999998</v>
      </c>
      <c r="AU225" s="30">
        <v>3.389408</v>
      </c>
      <c r="AV225" s="31">
        <v>3.9872740000000002</v>
      </c>
      <c r="AW225" s="31">
        <v>3.0476960000000002</v>
      </c>
      <c r="AX225" s="31">
        <v>3.642207</v>
      </c>
      <c r="AY225" s="29">
        <v>6.7683169999999997</v>
      </c>
      <c r="AZ225" s="29">
        <v>4.0161680000000004</v>
      </c>
      <c r="BA225" s="30">
        <v>8.8559730000000005</v>
      </c>
      <c r="BB225" s="30">
        <v>4.0161680000000004</v>
      </c>
      <c r="BC225" s="31">
        <v>6.8313600000000001</v>
      </c>
      <c r="BD225" s="31">
        <v>4.0161680000000004</v>
      </c>
    </row>
    <row r="226" spans="1:56" x14ac:dyDescent="0.3">
      <c r="A226" s="43"/>
      <c r="B226" s="43"/>
      <c r="C226" s="10" t="s">
        <v>423</v>
      </c>
      <c r="D226" s="3" t="s">
        <v>430</v>
      </c>
      <c r="E226" s="3" t="s">
        <v>431</v>
      </c>
      <c r="F226" s="3" t="s">
        <v>397</v>
      </c>
      <c r="G226" s="32"/>
      <c r="H226" s="32"/>
      <c r="I226" s="32"/>
      <c r="J226" s="32"/>
      <c r="K226" s="32"/>
      <c r="L226" s="30">
        <v>0.233573</v>
      </c>
      <c r="M226" s="30">
        <v>0.217109</v>
      </c>
      <c r="N226" s="30">
        <v>6.9723999999999994E-2</v>
      </c>
      <c r="O226" s="30">
        <v>6.9217000000000001E-2</v>
      </c>
      <c r="P226" s="30">
        <v>6.9199999999999998E-2</v>
      </c>
      <c r="Q226" s="31">
        <v>0.21150099999999999</v>
      </c>
      <c r="R226" s="31">
        <v>0.21441299999999999</v>
      </c>
      <c r="S226" s="31">
        <v>6.8648000000000001E-2</v>
      </c>
      <c r="T226" s="31">
        <v>5.8214000000000002E-2</v>
      </c>
      <c r="U226" s="32"/>
      <c r="V226" s="32"/>
      <c r="W226" s="32"/>
      <c r="X226" s="32"/>
      <c r="Y226" s="30">
        <v>0.228383</v>
      </c>
      <c r="Z226" s="30">
        <v>0.20522199999999999</v>
      </c>
      <c r="AA226" s="30">
        <v>6.3999E-2</v>
      </c>
      <c r="AB226" s="30">
        <v>6.5837999999999994E-2</v>
      </c>
      <c r="AC226" s="30">
        <v>6.5753000000000006E-2</v>
      </c>
      <c r="AD226" s="31">
        <v>0.20507400000000001</v>
      </c>
      <c r="AE226" s="31">
        <v>0.20338400000000001</v>
      </c>
      <c r="AF226" s="31">
        <v>6.3453999999999997E-2</v>
      </c>
      <c r="AG226" s="31">
        <v>5.6475999999999998E-2</v>
      </c>
      <c r="AH226" s="31">
        <v>5.6439000000000003E-2</v>
      </c>
      <c r="AI226" s="32"/>
      <c r="AJ226" s="32"/>
      <c r="AK226" s="30">
        <v>0.24478</v>
      </c>
      <c r="AL226" s="30">
        <v>0.22276699999999999</v>
      </c>
      <c r="AM226" s="30">
        <v>7.2499999999999995E-2</v>
      </c>
      <c r="AN226" s="31">
        <v>0.21741099999999999</v>
      </c>
      <c r="AO226" s="31">
        <v>0.22026200000000001</v>
      </c>
      <c r="AP226" s="31">
        <v>7.1321999999999997E-2</v>
      </c>
      <c r="AQ226" s="31">
        <v>5.9826999999999998E-2</v>
      </c>
      <c r="AR226" s="32"/>
      <c r="AS226" s="32"/>
      <c r="AT226" s="30">
        <v>0.20519299999999999</v>
      </c>
      <c r="AU226" s="30">
        <v>0.18027299999999999</v>
      </c>
      <c r="AV226" s="31">
        <v>0.182253</v>
      </c>
      <c r="AW226" s="31">
        <v>0.17905399999999999</v>
      </c>
      <c r="AX226" s="31">
        <v>4.9362999999999997E-2</v>
      </c>
      <c r="AY226" s="32"/>
      <c r="AZ226" s="32"/>
      <c r="BA226" s="30">
        <v>0.26399600000000001</v>
      </c>
      <c r="BB226" s="30">
        <v>0.21312600000000001</v>
      </c>
      <c r="BC226" s="31">
        <v>0.23917099999999999</v>
      </c>
      <c r="BD226" s="31">
        <v>0.21312600000000001</v>
      </c>
    </row>
    <row r="227" spans="1:56" x14ac:dyDescent="0.3">
      <c r="A227" s="43"/>
      <c r="B227" s="43"/>
      <c r="C227" s="10" t="s">
        <v>423</v>
      </c>
      <c r="D227" s="3" t="s">
        <v>432</v>
      </c>
      <c r="E227" s="3" t="s">
        <v>433</v>
      </c>
      <c r="F227" s="3" t="s">
        <v>404</v>
      </c>
      <c r="G227" s="32"/>
      <c r="H227" s="32"/>
      <c r="I227" s="32"/>
      <c r="J227" s="32"/>
      <c r="K227" s="32"/>
      <c r="L227" s="33"/>
      <c r="M227" s="33"/>
      <c r="N227" s="33"/>
      <c r="O227" s="33"/>
      <c r="P227" s="33"/>
      <c r="Q227" s="31">
        <v>1605.0259960000001</v>
      </c>
      <c r="R227" s="31">
        <v>1472.701652</v>
      </c>
      <c r="S227" s="31">
        <v>1267.6731259999999</v>
      </c>
      <c r="T227" s="31">
        <v>1111.1379669999999</v>
      </c>
      <c r="U227" s="32"/>
      <c r="V227" s="32"/>
      <c r="W227" s="32"/>
      <c r="X227" s="32"/>
      <c r="Y227" s="33"/>
      <c r="Z227" s="33"/>
      <c r="AA227" s="33"/>
      <c r="AB227" s="33"/>
      <c r="AC227" s="33"/>
      <c r="AD227" s="31">
        <v>1521.2857019999999</v>
      </c>
      <c r="AE227" s="31">
        <v>1391.9654009999999</v>
      </c>
      <c r="AF227" s="31">
        <v>1191.349346</v>
      </c>
      <c r="AG227" s="31">
        <v>1052.792357</v>
      </c>
      <c r="AH227" s="31">
        <v>998.14640199999997</v>
      </c>
      <c r="AI227" s="32"/>
      <c r="AJ227" s="32"/>
      <c r="AK227" s="33"/>
      <c r="AL227" s="33"/>
      <c r="AM227" s="33"/>
      <c r="AN227" s="31">
        <v>1692.1232219999999</v>
      </c>
      <c r="AO227" s="31">
        <v>1544.880576</v>
      </c>
      <c r="AP227" s="31">
        <v>1335.656547</v>
      </c>
      <c r="AQ227" s="31">
        <v>1156.379999</v>
      </c>
      <c r="AR227" s="32"/>
      <c r="AS227" s="32"/>
      <c r="AT227" s="33"/>
      <c r="AU227" s="33"/>
      <c r="AV227" s="31">
        <v>1139.558409</v>
      </c>
      <c r="AW227" s="31">
        <v>952.79339400000003</v>
      </c>
      <c r="AX227" s="31">
        <v>828.20120499999996</v>
      </c>
      <c r="AY227" s="32"/>
      <c r="AZ227" s="32"/>
      <c r="BA227" s="33"/>
      <c r="BB227" s="33"/>
      <c r="BC227" s="31">
        <v>1832.4508760000001</v>
      </c>
      <c r="BD227" s="31">
        <v>1230.4723739999999</v>
      </c>
    </row>
    <row r="228" spans="1:56" x14ac:dyDescent="0.3">
      <c r="A228" s="43"/>
      <c r="B228" s="43"/>
      <c r="C228" s="10" t="s">
        <v>423</v>
      </c>
      <c r="D228" s="3" t="s">
        <v>434</v>
      </c>
      <c r="E228" s="3" t="s">
        <v>435</v>
      </c>
      <c r="F228" s="3" t="s">
        <v>397</v>
      </c>
      <c r="G228" s="29">
        <v>4.7052999999999998E-2</v>
      </c>
      <c r="H228" s="29">
        <v>4.8037000000000003E-2</v>
      </c>
      <c r="I228" s="29">
        <v>4.4838999999999997E-2</v>
      </c>
      <c r="J228" s="29">
        <v>4.4838999999999997E-2</v>
      </c>
      <c r="K228" s="29">
        <v>4.4838999999999997E-2</v>
      </c>
      <c r="L228" s="33"/>
      <c r="M228" s="33"/>
      <c r="N228" s="33"/>
      <c r="O228" s="33"/>
      <c r="P228" s="33"/>
      <c r="Q228" s="34"/>
      <c r="R228" s="34"/>
      <c r="S228" s="34"/>
      <c r="T228" s="34"/>
      <c r="U228" s="29">
        <v>4.6108999999999997E-2</v>
      </c>
      <c r="V228" s="29">
        <v>4.6170000000000003E-2</v>
      </c>
      <c r="W228" s="29">
        <v>4.3499000000000003E-2</v>
      </c>
      <c r="X228" s="29">
        <v>4.3499000000000003E-2</v>
      </c>
      <c r="Y228" s="33"/>
      <c r="Z228" s="33"/>
      <c r="AA228" s="33"/>
      <c r="AB228" s="33"/>
      <c r="AC228" s="33"/>
      <c r="AD228" s="34"/>
      <c r="AE228" s="34"/>
      <c r="AF228" s="34"/>
      <c r="AG228" s="34"/>
      <c r="AH228" s="34"/>
      <c r="AI228" s="29">
        <v>4.8999000000000001E-2</v>
      </c>
      <c r="AJ228" s="29">
        <v>4.9362000000000003E-2</v>
      </c>
      <c r="AK228" s="33"/>
      <c r="AL228" s="33"/>
      <c r="AM228" s="33"/>
      <c r="AN228" s="34"/>
      <c r="AO228" s="34"/>
      <c r="AP228" s="34"/>
      <c r="AQ228" s="34"/>
      <c r="AR228" s="29">
        <v>4.1822999999999999E-2</v>
      </c>
      <c r="AS228" s="29">
        <v>4.0979000000000002E-2</v>
      </c>
      <c r="AT228" s="33"/>
      <c r="AU228" s="33"/>
      <c r="AV228" s="34"/>
      <c r="AW228" s="34"/>
      <c r="AX228" s="34"/>
      <c r="AY228" s="29">
        <v>5.6453999999999997E-2</v>
      </c>
      <c r="AZ228" s="29">
        <v>5.0890999999999999E-2</v>
      </c>
      <c r="BA228" s="33"/>
      <c r="BB228" s="33"/>
      <c r="BC228" s="34"/>
      <c r="BD228" s="34"/>
    </row>
    <row r="229" spans="1:56" x14ac:dyDescent="0.3">
      <c r="A229" s="43"/>
      <c r="B229" s="43"/>
      <c r="C229" s="10" t="s">
        <v>423</v>
      </c>
      <c r="D229" s="3" t="s">
        <v>436</v>
      </c>
      <c r="E229" s="3" t="s">
        <v>437</v>
      </c>
      <c r="F229" s="3" t="s">
        <v>404</v>
      </c>
      <c r="G229" s="29">
        <v>1365.249863</v>
      </c>
      <c r="H229" s="29">
        <v>1247.332484</v>
      </c>
      <c r="I229" s="29">
        <v>1099.962027</v>
      </c>
      <c r="J229" s="29">
        <v>1099.962027</v>
      </c>
      <c r="K229" s="29">
        <v>1002.968131</v>
      </c>
      <c r="L229" s="33"/>
      <c r="M229" s="33"/>
      <c r="N229" s="33"/>
      <c r="O229" s="33"/>
      <c r="P229" s="33"/>
      <c r="Q229" s="34"/>
      <c r="R229" s="34"/>
      <c r="S229" s="34"/>
      <c r="T229" s="34"/>
      <c r="U229" s="29">
        <v>1291.3559700000001</v>
      </c>
      <c r="V229" s="29">
        <v>1175.1296440000001</v>
      </c>
      <c r="W229" s="29">
        <v>1045.2428130000001</v>
      </c>
      <c r="X229" s="29">
        <v>1045.2428130000001</v>
      </c>
      <c r="Y229" s="33"/>
      <c r="Z229" s="33"/>
      <c r="AA229" s="33"/>
      <c r="AB229" s="33"/>
      <c r="AC229" s="33"/>
      <c r="AD229" s="34"/>
      <c r="AE229" s="34"/>
      <c r="AF229" s="34"/>
      <c r="AG229" s="34"/>
      <c r="AH229" s="34"/>
      <c r="AI229" s="29">
        <v>1442.7149850000001</v>
      </c>
      <c r="AJ229" s="29">
        <v>1311.5669700000001</v>
      </c>
      <c r="AK229" s="33"/>
      <c r="AL229" s="33"/>
      <c r="AM229" s="33"/>
      <c r="AN229" s="34"/>
      <c r="AO229" s="34"/>
      <c r="AP229" s="34"/>
      <c r="AQ229" s="34"/>
      <c r="AR229" s="29">
        <v>953.49370199999998</v>
      </c>
      <c r="AS229" s="29">
        <v>784.05718300000001</v>
      </c>
      <c r="AT229" s="33"/>
      <c r="AU229" s="33"/>
      <c r="AV229" s="34"/>
      <c r="AW229" s="34"/>
      <c r="AX229" s="34"/>
      <c r="AY229" s="29">
        <v>1562.9422589999999</v>
      </c>
      <c r="AZ229" s="29">
        <v>1026.7662700000001</v>
      </c>
      <c r="BA229" s="33"/>
      <c r="BB229" s="33"/>
      <c r="BC229" s="34"/>
      <c r="BD229" s="34"/>
    </row>
    <row r="230" spans="1:56" x14ac:dyDescent="0.3">
      <c r="A230" s="43"/>
      <c r="B230" s="43"/>
      <c r="C230" s="10" t="s">
        <v>423</v>
      </c>
      <c r="D230" s="3" t="s">
        <v>438</v>
      </c>
      <c r="E230" s="3" t="s">
        <v>439</v>
      </c>
      <c r="F230" s="3" t="s">
        <v>404</v>
      </c>
      <c r="G230" s="32"/>
      <c r="H230" s="32"/>
      <c r="I230" s="32"/>
      <c r="J230" s="32"/>
      <c r="K230" s="32"/>
      <c r="L230" s="33"/>
      <c r="M230" s="33"/>
      <c r="N230" s="33"/>
      <c r="O230" s="33"/>
      <c r="P230" s="33"/>
      <c r="Q230" s="34"/>
      <c r="R230" s="34"/>
      <c r="S230" s="34"/>
      <c r="T230" s="34"/>
      <c r="U230" s="32"/>
      <c r="V230" s="32"/>
      <c r="W230" s="32"/>
      <c r="X230" s="32"/>
      <c r="Y230" s="33"/>
      <c r="Z230" s="33"/>
      <c r="AA230" s="33"/>
      <c r="AB230" s="33"/>
      <c r="AC230" s="33"/>
      <c r="AD230" s="34"/>
      <c r="AE230" s="34"/>
      <c r="AF230" s="34"/>
      <c r="AG230" s="34"/>
      <c r="AH230" s="34"/>
      <c r="AI230" s="32"/>
      <c r="AJ230" s="32"/>
      <c r="AK230" s="33"/>
      <c r="AL230" s="33"/>
      <c r="AM230" s="33"/>
      <c r="AN230" s="34"/>
      <c r="AO230" s="34"/>
      <c r="AP230" s="34"/>
      <c r="AQ230" s="34"/>
      <c r="AR230" s="32"/>
      <c r="AS230" s="32"/>
      <c r="AT230" s="33"/>
      <c r="AU230" s="33"/>
      <c r="AV230" s="34"/>
      <c r="AW230" s="34"/>
      <c r="AX230" s="34"/>
      <c r="AY230" s="32"/>
      <c r="AZ230" s="32"/>
      <c r="BA230" s="33"/>
      <c r="BB230" s="33"/>
      <c r="BC230" s="34"/>
      <c r="BD230" s="34"/>
    </row>
    <row r="231" spans="1:56" x14ac:dyDescent="0.3">
      <c r="A231" s="43"/>
      <c r="B231" s="43"/>
      <c r="C231" s="10" t="s">
        <v>423</v>
      </c>
      <c r="D231" s="3" t="s">
        <v>440</v>
      </c>
      <c r="E231" s="3" t="s">
        <v>441</v>
      </c>
      <c r="F231" s="3" t="s">
        <v>404</v>
      </c>
      <c r="G231" s="32"/>
      <c r="H231" s="32"/>
      <c r="I231" s="32"/>
      <c r="J231" s="32"/>
      <c r="K231" s="32"/>
      <c r="L231" s="30">
        <v>9991.3657480000002</v>
      </c>
      <c r="M231" s="30">
        <v>7692.618383</v>
      </c>
      <c r="N231" s="30">
        <v>6967.0416889999997</v>
      </c>
      <c r="O231" s="30">
        <v>6322.2156080000004</v>
      </c>
      <c r="P231" s="30">
        <v>6122.6543000000001</v>
      </c>
      <c r="Q231" s="34"/>
      <c r="R231" s="34"/>
      <c r="S231" s="34"/>
      <c r="T231" s="34"/>
      <c r="U231" s="32"/>
      <c r="V231" s="32"/>
      <c r="W231" s="32"/>
      <c r="X231" s="32"/>
      <c r="Y231" s="30">
        <v>9951.4916059999996</v>
      </c>
      <c r="Z231" s="30">
        <v>7206.6242860000002</v>
      </c>
      <c r="AA231" s="30">
        <v>6496.3085600000004</v>
      </c>
      <c r="AB231" s="30">
        <v>5954.5362889999997</v>
      </c>
      <c r="AC231" s="30">
        <v>5754.9749890000003</v>
      </c>
      <c r="AD231" s="34"/>
      <c r="AE231" s="34"/>
      <c r="AF231" s="34"/>
      <c r="AG231" s="34"/>
      <c r="AH231" s="34"/>
      <c r="AI231" s="32"/>
      <c r="AJ231" s="32"/>
      <c r="AK231" s="30">
        <v>10608.786083999999</v>
      </c>
      <c r="AL231" s="30">
        <v>8147.5389459999997</v>
      </c>
      <c r="AM231" s="30">
        <v>7407.0411519999998</v>
      </c>
      <c r="AN231" s="34"/>
      <c r="AO231" s="34"/>
      <c r="AP231" s="34"/>
      <c r="AQ231" s="34"/>
      <c r="AR231" s="32"/>
      <c r="AS231" s="32"/>
      <c r="AT231" s="30">
        <v>8019.6390860000001</v>
      </c>
      <c r="AU231" s="30">
        <v>4446.0015970000004</v>
      </c>
      <c r="AV231" s="34"/>
      <c r="AW231" s="34"/>
      <c r="AX231" s="34"/>
      <c r="AY231" s="32"/>
      <c r="AZ231" s="32"/>
      <c r="BA231" s="30">
        <v>11194.801163</v>
      </c>
      <c r="BB231" s="30">
        <v>5978.4149939999998</v>
      </c>
      <c r="BC231" s="34"/>
      <c r="BD231" s="34"/>
    </row>
    <row r="232" spans="1:56" x14ac:dyDescent="0.3">
      <c r="A232" s="43"/>
      <c r="B232" s="44"/>
      <c r="C232" s="10"/>
      <c r="G232" s="32"/>
      <c r="H232" s="32"/>
      <c r="I232" s="32"/>
      <c r="J232" s="32"/>
      <c r="K232" s="32"/>
      <c r="L232" s="33"/>
      <c r="M232" s="33"/>
      <c r="N232" s="33"/>
      <c r="O232" s="33"/>
      <c r="P232" s="33"/>
      <c r="Q232" s="34"/>
      <c r="R232" s="34"/>
      <c r="S232" s="34"/>
      <c r="T232" s="34"/>
      <c r="U232" s="32"/>
      <c r="V232" s="32"/>
      <c r="W232" s="32"/>
      <c r="X232" s="32"/>
      <c r="Y232" s="33"/>
      <c r="Z232" s="33"/>
      <c r="AA232" s="33"/>
      <c r="AB232" s="33"/>
      <c r="AC232" s="33"/>
      <c r="AD232" s="34"/>
      <c r="AE232" s="34"/>
      <c r="AF232" s="34"/>
      <c r="AG232" s="34"/>
      <c r="AH232" s="34"/>
      <c r="AI232" s="32"/>
      <c r="AJ232" s="32"/>
      <c r="AK232" s="33"/>
      <c r="AL232" s="33"/>
      <c r="AM232" s="33"/>
      <c r="AN232" s="34"/>
      <c r="AO232" s="34"/>
      <c r="AP232" s="34"/>
      <c r="AQ232" s="34"/>
      <c r="AR232" s="32"/>
      <c r="AS232" s="32"/>
      <c r="AT232" s="33"/>
      <c r="AU232" s="33"/>
      <c r="AV232" s="34"/>
      <c r="AW232" s="34"/>
      <c r="AX232" s="34"/>
      <c r="AY232" s="32"/>
      <c r="AZ232" s="32"/>
      <c r="BA232" s="33"/>
      <c r="BB232" s="33"/>
      <c r="BC232" s="34"/>
      <c r="BD232" s="34"/>
    </row>
    <row r="233" spans="1:56" x14ac:dyDescent="0.3">
      <c r="A233" s="43"/>
      <c r="B233" s="53" t="s">
        <v>442</v>
      </c>
      <c r="C233" s="11" t="s">
        <v>443</v>
      </c>
      <c r="D233" s="6" t="s">
        <v>444</v>
      </c>
      <c r="E233" s="6" t="s">
        <v>445</v>
      </c>
      <c r="F233" s="6" t="s">
        <v>397</v>
      </c>
      <c r="G233" s="29">
        <v>1.411208</v>
      </c>
      <c r="H233" s="29">
        <v>1.2675479999999999</v>
      </c>
      <c r="I233" s="29">
        <v>1.0999620000000001</v>
      </c>
      <c r="J233" s="29">
        <v>1.0999620000000001</v>
      </c>
      <c r="K233" s="29">
        <v>1.0029680000000001</v>
      </c>
      <c r="L233" s="30">
        <v>10.371599</v>
      </c>
      <c r="M233" s="30">
        <v>7.8116950000000003</v>
      </c>
      <c r="N233" s="30">
        <v>7.0826570000000002</v>
      </c>
      <c r="O233" s="30">
        <v>6.3222160000000001</v>
      </c>
      <c r="P233" s="30">
        <v>6.1227</v>
      </c>
      <c r="Q233" s="31">
        <v>1.656528</v>
      </c>
      <c r="R233" s="31">
        <v>1.495061</v>
      </c>
      <c r="S233" s="31">
        <v>1.288851</v>
      </c>
      <c r="T233" s="31">
        <v>1.111138</v>
      </c>
      <c r="U233" s="29">
        <v>1.353367</v>
      </c>
      <c r="V233" s="29">
        <v>1.2035229999999999</v>
      </c>
      <c r="W233" s="29">
        <v>1.0452429999999999</v>
      </c>
      <c r="X233" s="29">
        <v>1.0452429999999999</v>
      </c>
      <c r="Y233" s="30">
        <v>10.536142999999999</v>
      </c>
      <c r="Z233" s="30">
        <v>7.3740449999999997</v>
      </c>
      <c r="AA233" s="30">
        <v>6.6595639999999996</v>
      </c>
      <c r="AB233" s="30">
        <v>5.9545649999999997</v>
      </c>
      <c r="AC233" s="30">
        <v>5.7550039999999996</v>
      </c>
      <c r="AD233" s="31">
        <v>1.590838</v>
      </c>
      <c r="AE233" s="31">
        <v>1.4233929999999999</v>
      </c>
      <c r="AF233" s="31">
        <v>1.2213149999999999</v>
      </c>
      <c r="AG233" s="31">
        <v>1.052792</v>
      </c>
      <c r="AH233" s="31">
        <v>0.99814599999999998</v>
      </c>
      <c r="AI233" s="29">
        <v>1.497733</v>
      </c>
      <c r="AJ233" s="29">
        <v>1.3284419999999999</v>
      </c>
      <c r="AK233" s="30">
        <v>10.809977</v>
      </c>
      <c r="AL233" s="30">
        <v>8.2752060000000007</v>
      </c>
      <c r="AM233" s="30">
        <v>7.5316549999999998</v>
      </c>
      <c r="AN233" s="31">
        <v>1.754006</v>
      </c>
      <c r="AO233" s="31">
        <v>1.563869</v>
      </c>
      <c r="AP233" s="31">
        <v>1.3534740000000001</v>
      </c>
      <c r="AQ233" s="31">
        <v>1.15638</v>
      </c>
      <c r="AR233" s="29">
        <v>1.0395840000000001</v>
      </c>
      <c r="AS233" s="29">
        <v>0.79804600000000003</v>
      </c>
      <c r="AT233" s="30">
        <v>9.0658189999999994</v>
      </c>
      <c r="AU233" s="30">
        <v>4.5538610000000004</v>
      </c>
      <c r="AV233" s="31">
        <v>1.236005</v>
      </c>
      <c r="AW233" s="31">
        <v>0.96799299999999999</v>
      </c>
      <c r="AX233" s="31">
        <v>0.92308000000000001</v>
      </c>
      <c r="AY233" s="29">
        <v>1.6268359999999999</v>
      </c>
      <c r="AZ233" s="29">
        <v>1.0267660000000001</v>
      </c>
      <c r="BA233" s="30">
        <v>11.553592999999999</v>
      </c>
      <c r="BB233" s="30">
        <v>5.978415</v>
      </c>
      <c r="BC233" s="31">
        <v>1.9058489999999999</v>
      </c>
      <c r="BD233" s="31">
        <v>1.230472</v>
      </c>
    </row>
    <row r="234" spans="1:56" x14ac:dyDescent="0.3">
      <c r="A234" s="43"/>
      <c r="B234" s="43"/>
      <c r="C234" s="10" t="s">
        <v>443</v>
      </c>
      <c r="D234" s="3" t="s">
        <v>446</v>
      </c>
      <c r="E234" s="3" t="s">
        <v>447</v>
      </c>
      <c r="F234" s="3" t="s">
        <v>397</v>
      </c>
      <c r="G234" s="29">
        <v>1.3652500000000001</v>
      </c>
      <c r="H234" s="29">
        <v>1.2473320000000001</v>
      </c>
      <c r="I234" s="29">
        <v>1.0999620000000001</v>
      </c>
      <c r="J234" s="29">
        <v>1.0999620000000001</v>
      </c>
      <c r="K234" s="29">
        <v>1.0029680000000001</v>
      </c>
      <c r="L234" s="30">
        <v>9.9913659999999993</v>
      </c>
      <c r="M234" s="30">
        <v>7.6926180000000004</v>
      </c>
      <c r="N234" s="30">
        <v>6.9670420000000002</v>
      </c>
      <c r="O234" s="30">
        <v>6.3222160000000001</v>
      </c>
      <c r="P234" s="30">
        <v>6.1227</v>
      </c>
      <c r="Q234" s="31">
        <v>1.6050260000000001</v>
      </c>
      <c r="R234" s="31">
        <v>1.472702</v>
      </c>
      <c r="S234" s="31">
        <v>1.267673</v>
      </c>
      <c r="T234" s="31">
        <v>1.111138</v>
      </c>
      <c r="U234" s="29">
        <v>1.2913559999999999</v>
      </c>
      <c r="V234" s="29">
        <v>1.17513</v>
      </c>
      <c r="W234" s="29">
        <v>1.0452429999999999</v>
      </c>
      <c r="X234" s="29">
        <v>1.0452429999999999</v>
      </c>
      <c r="Y234" s="30">
        <v>9.951492</v>
      </c>
      <c r="Z234" s="30">
        <v>7.2066239999999997</v>
      </c>
      <c r="AA234" s="30">
        <v>6.4963090000000001</v>
      </c>
      <c r="AB234" s="30">
        <v>5.9545360000000001</v>
      </c>
      <c r="AC234" s="30">
        <v>5.754975</v>
      </c>
      <c r="AD234" s="31">
        <v>1.5212859999999999</v>
      </c>
      <c r="AE234" s="31">
        <v>1.3919649999999999</v>
      </c>
      <c r="AF234" s="31">
        <v>1.191349</v>
      </c>
      <c r="AG234" s="31">
        <v>1.052792</v>
      </c>
      <c r="AH234" s="31">
        <v>0.99814599999999998</v>
      </c>
      <c r="AI234" s="29">
        <v>1.442715</v>
      </c>
      <c r="AJ234" s="29">
        <v>1.3115669999999999</v>
      </c>
      <c r="AK234" s="30">
        <v>10.608786</v>
      </c>
      <c r="AL234" s="30">
        <v>8.1475390000000001</v>
      </c>
      <c r="AM234" s="30">
        <v>7.4070410000000004</v>
      </c>
      <c r="AN234" s="31">
        <v>1.692123</v>
      </c>
      <c r="AO234" s="31">
        <v>1.5448809999999999</v>
      </c>
      <c r="AP234" s="31">
        <v>1.3356570000000001</v>
      </c>
      <c r="AQ234" s="31">
        <v>1.15638</v>
      </c>
      <c r="AR234" s="29">
        <v>0.95349399999999995</v>
      </c>
      <c r="AS234" s="29">
        <v>0.784057</v>
      </c>
      <c r="AT234" s="30">
        <v>8.0196389999999997</v>
      </c>
      <c r="AU234" s="30">
        <v>4.446002</v>
      </c>
      <c r="AV234" s="31">
        <v>1.1395580000000001</v>
      </c>
      <c r="AW234" s="31">
        <v>0.952793</v>
      </c>
      <c r="AX234" s="31">
        <v>0.82820099999999996</v>
      </c>
      <c r="AY234" s="29">
        <v>1.5629420000000001</v>
      </c>
      <c r="AZ234" s="29">
        <v>1.0267660000000001</v>
      </c>
      <c r="BA234" s="30">
        <v>11.194801</v>
      </c>
      <c r="BB234" s="30">
        <v>5.978415</v>
      </c>
      <c r="BC234" s="31">
        <v>1.8324510000000001</v>
      </c>
      <c r="BD234" s="31">
        <v>1.230472</v>
      </c>
    </row>
  </sheetData>
  <mergeCells count="36">
    <mergeCell ref="B12:B22"/>
    <mergeCell ref="A191:A234"/>
    <mergeCell ref="B233:B234"/>
    <mergeCell ref="B188:B189"/>
    <mergeCell ref="A101:A132"/>
    <mergeCell ref="B179:B181"/>
    <mergeCell ref="B44:B55"/>
    <mergeCell ref="A165:A190"/>
    <mergeCell ref="A133:A164"/>
    <mergeCell ref="B182:B184"/>
    <mergeCell ref="B79:B89"/>
    <mergeCell ref="B136:B138"/>
    <mergeCell ref="B176:B178"/>
    <mergeCell ref="B173:B175"/>
    <mergeCell ref="B223:B232"/>
    <mergeCell ref="A2:A100"/>
    <mergeCell ref="B185:B187"/>
    <mergeCell ref="B90:B99"/>
    <mergeCell ref="B121:B132"/>
    <mergeCell ref="B155:B164"/>
    <mergeCell ref="B111:B120"/>
    <mergeCell ref="B145:B154"/>
    <mergeCell ref="B101:B110"/>
    <mergeCell ref="B194:B200"/>
    <mergeCell ref="B201:B222"/>
    <mergeCell ref="B2:B11"/>
    <mergeCell ref="B69:B78"/>
    <mergeCell ref="B169:B172"/>
    <mergeCell ref="B34:B43"/>
    <mergeCell ref="B191:B193"/>
    <mergeCell ref="B56:B68"/>
    <mergeCell ref="B165:B168"/>
    <mergeCell ref="B142:B144"/>
    <mergeCell ref="B133:B135"/>
    <mergeCell ref="B23:B33"/>
    <mergeCell ref="B139:B141"/>
  </mergeCells>
  <pageMargins left="0.7" right="0.7" top="0.78740157499999996" bottom="0.7874015749999999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A9A61-860B-4864-B37D-3D877B22ACB2}">
  <dimension ref="A1:E5"/>
  <sheetViews>
    <sheetView workbookViewId="0">
      <selection activeCell="G4" sqref="G4"/>
    </sheetView>
  </sheetViews>
  <sheetFormatPr baseColWidth="10" defaultRowHeight="14.4" x14ac:dyDescent="0.3"/>
  <sheetData>
    <row r="1" spans="1:5" x14ac:dyDescent="0.3">
      <c r="B1" t="s">
        <v>451</v>
      </c>
      <c r="D1" t="s">
        <v>452</v>
      </c>
    </row>
    <row r="2" spans="1:5" x14ac:dyDescent="0.3">
      <c r="A2" t="s">
        <v>267</v>
      </c>
      <c r="B2" s="41">
        <f>MIN(Ergebnisse!R210:BD210)</f>
        <v>3.0476960000000002</v>
      </c>
      <c r="C2" s="41">
        <f>D2-B2</f>
        <v>5.8082770000000004</v>
      </c>
      <c r="D2" s="41">
        <f>MAX(Ergebnisse!R210:BD210)</f>
        <v>8.8559730000000005</v>
      </c>
    </row>
    <row r="3" spans="1:5" x14ac:dyDescent="0.3">
      <c r="A3" t="s">
        <v>448</v>
      </c>
      <c r="B3" s="41">
        <f>MIN(Ergebnisse!R212:BD212)/1000</f>
        <v>0.82820120499999994</v>
      </c>
      <c r="C3" s="41">
        <f t="shared" ref="C3:C5" si="0">D3-B3</f>
        <v>1.0042496710000002</v>
      </c>
      <c r="D3" s="41">
        <f>MAX(Ergebnisse!R212:BD212)/1000</f>
        <v>1.832450876</v>
      </c>
      <c r="E3">
        <v>212</v>
      </c>
    </row>
    <row r="4" spans="1:5" x14ac:dyDescent="0.3">
      <c r="A4" t="s">
        <v>449</v>
      </c>
      <c r="B4" s="41">
        <f>MIN(Ergebnisse!R214:BD214)/1000</f>
        <v>0.78405718300000005</v>
      </c>
      <c r="C4" s="41">
        <f t="shared" si="0"/>
        <v>0.7788850759999999</v>
      </c>
      <c r="D4" s="41">
        <f>MAX(Ergebnisse!R214:BD214)/1000</f>
        <v>1.5629422589999999</v>
      </c>
      <c r="E4">
        <v>214</v>
      </c>
    </row>
    <row r="5" spans="1:5" x14ac:dyDescent="0.3">
      <c r="A5" t="s">
        <v>450</v>
      </c>
      <c r="B5" s="41">
        <f>MIN(Ergebnisse!R217:BD217)/1000</f>
        <v>4.4460015970000004</v>
      </c>
      <c r="C5" s="41">
        <f t="shared" si="0"/>
        <v>6.7487995659999989</v>
      </c>
      <c r="D5" s="41">
        <f>MAX(Ergebnisse!R217:BD217)/1000</f>
        <v>11.194801162999999</v>
      </c>
      <c r="E5">
        <v>217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Ergebnisse</vt:lpstr>
      <vt:lpstr>Grafiken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Michael Heberl</cp:lastModifiedBy>
  <dcterms:created xsi:type="dcterms:W3CDTF">2015-06-05T18:19:34Z</dcterms:created>
  <dcterms:modified xsi:type="dcterms:W3CDTF">2026-01-16T09:06:22Z</dcterms:modified>
</cp:coreProperties>
</file>